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Match_Sim" sheetId="3" state="visible" r:id="rId5"/>
    <sheet name="Distributions" sheetId="4" state="visible" r:id="rId6"/>
    <sheet name="Targe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<sst xmlns="http://schemas.openxmlformats.org/spreadsheetml/2006/main" count="154" uniqueCount="152">
  <si>
    <t xml:space="preserve">Rugby Manager — Calibrage moteur de match V0.1</t>
  </si>
  <si>
    <t xml:space="preserve">Objectif</t>
  </si>
  <si>
    <t xml:space="preserve">Modéliser un match Top 14 en formules afin de valider les distributions cibles (essais/match, pénalités, phases) AVANT de coder le moteur en TypeScript. Voir 06-moteur-match.md, section 'Plan de travail (proto Excel V0.1)'.</t>
  </si>
  <si>
    <t xml:space="preserve">Méthode</t>
  </si>
  <si>
    <t xml:space="preserve">100 matchs simulés via RANDBETWEEN/RAND. Pour chaque match : forces pack/lignes tirées aléatoirement, calcul des conservations/pénalités/essais via formules basées sur les hypothèses de la feuille 'Inputs'. La feuille 'Distributions' agrège, et 'Targets' compare aux cibles réelles Top 14.</t>
  </si>
  <si>
    <t xml:space="preserve">Itération</t>
  </si>
  <si>
    <t xml:space="preserve">Tant que les indicateurs Targets sont KO, ajuster les valeurs jaunes de la feuille Inputs (uniquement) — JAMAIS toucher aux formules. Re-presser F9 (LibreOffice) ou Cmd+= pour relancer les 100 matchs et re-vérifier.</t>
  </si>
  <si>
    <t xml:space="preserve">Conventions de couleur</t>
  </si>
  <si>
    <t xml:space="preserve">  • Bleu = input à modifier librement (fond jaune)</t>
  </si>
  <si>
    <t xml:space="preserve">  • Noir = formule, NE PAS modifier</t>
  </si>
  <si>
    <t xml:space="preserve">  • Vert = lien vers une autre feuille</t>
  </si>
  <si>
    <t xml:space="preserve">Cibles Top 14 (cf. 14-tests-validation.md)</t>
  </si>
  <si>
    <t xml:space="preserve">  • Essais par match (somme deux équipes) : 4-6</t>
  </si>
  <si>
    <t xml:space="preserve">  • Pénalités tentées par match : 8-12</t>
  </si>
  <si>
    <t xml:space="preserve">  • % réussite pénalités : 60-70%</t>
  </si>
  <si>
    <t xml:space="preserve">  • Phases par match : 70-80</t>
  </si>
  <si>
    <t xml:space="preserve">  • Cartons jaunes par match : 0.3-0.7</t>
  </si>
  <si>
    <t xml:space="preserve">  • Cartons rouges par match : 0.05-0.10</t>
  </si>
  <si>
    <t xml:space="preserve">  • % matchs nuls : &lt; 8%</t>
  </si>
  <si>
    <t xml:space="preserve">Limites V0.1</t>
  </si>
  <si>
    <t xml:space="preserve">Les 6 sous-systèmes (mêlée, touche, jeu courant, ruck, jeu au pied, sanctions) sont agrégés au niveau match — pas de simulation phase-par-phase. C'est volontaire : on valide les distributions globales AVANT d'entrer dans les détails. Approfondissement phase-par-phase = V0.2 (mêlée d'abord).</t>
  </si>
  <si>
    <t xml:space="preserve">Hypothèses calibrables</t>
  </si>
  <si>
    <t xml:space="preserve">Modifie uniquement la colonne C (cellules jaunes). Les formules s'ajusteront.</t>
  </si>
  <si>
    <t xml:space="preserve">1. Phases &amp; rythme du match</t>
  </si>
  <si>
    <t xml:space="preserve">Phases minimum par match</t>
  </si>
  <si>
    <t xml:space="preserve">borne basse RANDBETWEEN</t>
  </si>
  <si>
    <t xml:space="preserve">Phases maximum par match</t>
  </si>
  <si>
    <t xml:space="preserve">borne haute RANDBETWEEN</t>
  </si>
  <si>
    <t xml:space="preserve">% phases conquête (mêlée+touche)</t>
  </si>
  <si>
    <t xml:space="preserve">le reste = jeu courant + rucks</t>
  </si>
  <si>
    <t xml:space="preserve">% mêlées dans la conquête</t>
  </si>
  <si>
    <t xml:space="preserve">le reste = touches</t>
  </si>
  <si>
    <t xml:space="preserve">2. Force des équipes (génération 100 matchs)</t>
  </si>
  <si>
    <t xml:space="preserve">Force pack — moyenne population</t>
  </si>
  <si>
    <t xml:space="preserve">pack moyen Top 14</t>
  </si>
  <si>
    <t xml:space="preserve">Force pack — écart-type</t>
  </si>
  <si>
    <t xml:space="preserve">spread petits/gros clubs</t>
  </si>
  <si>
    <t xml:space="preserve">Force lignes arrière — moyenne</t>
  </si>
  <si>
    <t xml:space="preserve">Force lignes arrière — écart-type</t>
  </si>
  <si>
    <t xml:space="preserve">3. Mêlée</t>
  </si>
  <si>
    <t xml:space="preserve">P(conservation introduction) packs équivalents</t>
  </si>
  <si>
    <t xml:space="preserve">intro home conservée</t>
  </si>
  <si>
    <t xml:space="preserve">Sensibilité différentiel pack à la conservation</t>
  </si>
  <si>
    <t xml:space="preserve">Δprob par point de différentiel</t>
  </si>
  <si>
    <t xml:space="preserve">P(pénalité contre défense) par mêlée intro</t>
  </si>
  <si>
    <t xml:space="preserve">défense sanctionnée (écroulement)</t>
  </si>
  <si>
    <t xml:space="preserve">Sensibilité différentiel pack à la pénalité</t>
  </si>
  <si>
    <t xml:space="preserve">4. Touche</t>
  </si>
  <si>
    <t xml:space="preserve">P(conservation lancer) qualité moy.</t>
  </si>
  <si>
    <t xml:space="preserve">touches gagnées sur lancer propre</t>
  </si>
  <si>
    <t xml:space="preserve">Sensibilité qualité touche à la conservation</t>
  </si>
  <si>
    <t xml:space="preserve">Δprob par point qualité touche</t>
  </si>
  <si>
    <t xml:space="preserve">5. Jeu courant + ruck</t>
  </si>
  <si>
    <t xml:space="preserve">% multiphases par possession</t>
  </si>
  <si>
    <t xml:space="preserve">% des possessions qui enchaînent ≥3 phases</t>
  </si>
  <si>
    <t xml:space="preserve">P(turnover/pénalité par phase courante)</t>
  </si>
  <si>
    <t xml:space="preserve">absorbe rucks contestés + pen jeu déloyal — V0.2 splittera</t>
  </si>
  <si>
    <t xml:space="preserve">6. Conversion en essais</t>
  </si>
  <si>
    <t xml:space="preserve">P(essai par possession en zone rouge)</t>
  </si>
  <si>
    <t xml:space="preserve">possession dans les 22m</t>
  </si>
  <si>
    <t xml:space="preserve">% possessions atteignant zone rouge — équipes équiv.</t>
  </si>
  <si>
    <t xml:space="preserve">Sensibilité différentiel lignes à %zoneRouge</t>
  </si>
  <si>
    <t xml:space="preserve">7. Pénalités au pied</t>
  </si>
  <si>
    <t xml:space="preserve">P(tentative de pénalité) sur pénalité obtenue</t>
  </si>
  <si>
    <t xml:space="preserve">le reste = touche / mêlée tactique</t>
  </si>
  <si>
    <t xml:space="preserve">% réussite pénalité (buteur moyen)</t>
  </si>
  <si>
    <t xml:space="preserve">cible 60-70%</t>
  </si>
  <si>
    <t xml:space="preserve">% réussite transformation</t>
  </si>
  <si>
    <t xml:space="preserve">post-essai</t>
  </si>
  <si>
    <t xml:space="preserve">8. Sanctions (cartons)</t>
  </si>
  <si>
    <t xml:space="preserve">P(carton jaune) par match par équipe</t>
  </si>
  <si>
    <t xml:space="preserve">cible 0.3-0.7 par match au total</t>
  </si>
  <si>
    <t xml:space="preserve">P(carton rouge) par match par équipe</t>
  </si>
  <si>
    <t xml:space="preserve">cible 0.05-0.10 au total</t>
  </si>
  <si>
    <t xml:space="preserve">Simulation — 100 matchs</t>
  </si>
  <si>
    <t xml:space="preserve">Match</t>
  </si>
  <si>
    <t xml:space="preserve">Pack_H</t>
  </si>
  <si>
    <t xml:space="preserve">Pack_A</t>
  </si>
  <si>
    <t xml:space="preserve">Backs_H</t>
  </si>
  <si>
    <t xml:space="preserve">Backs_A</t>
  </si>
  <si>
    <t xml:space="preserve">Phases</t>
  </si>
  <si>
    <t xml:space="preserve">Mêlées</t>
  </si>
  <si>
    <t xml:space="preserve">Touches</t>
  </si>
  <si>
    <t xml:space="preserve">Rucks/JC</t>
  </si>
  <si>
    <t xml:space="preserve">MêlPen_H</t>
  </si>
  <si>
    <t xml:space="preserve">MêlPen_A</t>
  </si>
  <si>
    <t xml:space="preserve">TouPen_H</t>
  </si>
  <si>
    <t xml:space="preserve">TouPen_A</t>
  </si>
  <si>
    <t xml:space="preserve">Possess_H</t>
  </si>
  <si>
    <t xml:space="preserve">Possess_A</t>
  </si>
  <si>
    <t xml:space="preserve">ZoneR_H</t>
  </si>
  <si>
    <t xml:space="preserve">ZoneR_A</t>
  </si>
  <si>
    <t xml:space="preserve">Essais_H</t>
  </si>
  <si>
    <t xml:space="preserve">Essais_A</t>
  </si>
  <si>
    <t xml:space="preserve">PenObt_H</t>
  </si>
  <si>
    <t xml:space="preserve">PenObt_A</t>
  </si>
  <si>
    <t xml:space="preserve">PenTent_H</t>
  </si>
  <si>
    <t xml:space="preserve">PenTent_A</t>
  </si>
  <si>
    <t xml:space="preserve">PenRéu_H</t>
  </si>
  <si>
    <t xml:space="preserve">PenRéu_A</t>
  </si>
  <si>
    <t xml:space="preserve">TransRéu_H</t>
  </si>
  <si>
    <t xml:space="preserve">TransRéu_A</t>
  </si>
  <si>
    <t xml:space="preserve">Score_H</t>
  </si>
  <si>
    <t xml:space="preserve">Score_A</t>
  </si>
  <si>
    <t xml:space="preserve">JauneT</t>
  </si>
  <si>
    <t xml:space="preserve">RougeT</t>
  </si>
  <si>
    <t xml:space="preserve">Score_TOT</t>
  </si>
  <si>
    <t xml:space="preserve">DiffScore</t>
  </si>
  <si>
    <t xml:space="preserve">Essais_TOT</t>
  </si>
  <si>
    <t xml:space="preserve">PenTent_TOT</t>
  </si>
  <si>
    <t xml:space="preserve">PenRéu_TOT</t>
  </si>
  <si>
    <t xml:space="preserve">IsDraw</t>
  </si>
  <si>
    <t xml:space="preserve">Agrégations sur les 100 matchs</t>
  </si>
  <si>
    <t xml:space="preserve">Métrique</t>
  </si>
  <si>
    <t xml:space="preserve">Moyenne</t>
  </si>
  <si>
    <t xml:space="preserve">Écart-type</t>
  </si>
  <si>
    <t xml:space="preserve">Min</t>
  </si>
  <si>
    <t xml:space="preserve">Max</t>
  </si>
  <si>
    <t xml:space="preserve">P25</t>
  </si>
  <si>
    <t xml:space="preserve">P75</t>
  </si>
  <si>
    <t xml:space="preserve">Score Home</t>
  </si>
  <si>
    <t xml:space="preserve">Score Away</t>
  </si>
  <si>
    <t xml:space="preserve">Score total (cumul deux équipes)</t>
  </si>
  <si>
    <t xml:space="preserve">Différentiel score (|H-A|)</t>
  </si>
  <si>
    <t xml:space="preserve">Essais Home</t>
  </si>
  <si>
    <t xml:space="preserve">Essais Away</t>
  </si>
  <si>
    <t xml:space="preserve">Essais TOTAL (cible 4-6)</t>
  </si>
  <si>
    <t xml:space="preserve">Pénalités tentées TOTAL (cible 8-12)</t>
  </si>
  <si>
    <t xml:space="preserve">Pénalités réussies TOTAL</t>
  </si>
  <si>
    <t xml:space="preserve">% réussite pénalités (cible 60-70%)</t>
  </si>
  <si>
    <t xml:space="preserve">Phases TOTAL (cible 70-80)</t>
  </si>
  <si>
    <t xml:space="preserve">Mêlées par match</t>
  </si>
  <si>
    <t xml:space="preserve">Touches par match</t>
  </si>
  <si>
    <t xml:space="preserve">Rucks/jeu courant par match</t>
  </si>
  <si>
    <t xml:space="preserve">Cartons jaunes par match (cible 0.3-0.7)</t>
  </si>
  <si>
    <t xml:space="preserve">Cartons rouges par match (cible 0.05-0.10)</t>
  </si>
  <si>
    <t xml:space="preserve">% matchs nuls (cible &lt; 8%)</t>
  </si>
  <si>
    <t xml:space="preserve">Cibles vs réalité Top 14 — indicateur OK / KO</t>
  </si>
  <si>
    <t xml:space="preserve">Cible MIN</t>
  </si>
  <si>
    <t xml:space="preserve">Cible MAX</t>
  </si>
  <si>
    <t xml:space="preserve">Mesuré (100 matchs)</t>
  </si>
  <si>
    <t xml:space="preserve">Statut</t>
  </si>
  <si>
    <t xml:space="preserve">Essais TOTAL par match</t>
  </si>
  <si>
    <t xml:space="preserve">Pénalités tentées TOTAL par match</t>
  </si>
  <si>
    <t xml:space="preserve">% réussite pénalités</t>
  </si>
  <si>
    <t xml:space="preserve">Phases TOTAL par match</t>
  </si>
  <si>
    <t xml:space="preserve">Score moyen Home</t>
  </si>
  <si>
    <t xml:space="preserve">Score moyen Away</t>
  </si>
  <si>
    <t xml:space="preserve">Cartons jaunes par match</t>
  </si>
  <si>
    <t xml:space="preserve">Cartons rouges par match</t>
  </si>
  <si>
    <t xml:space="preserve">% matchs nuls</t>
  </si>
  <si>
    <t xml:space="preserve">Score global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</si>
</sst>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%"/>
    <numFmt numFmtId="167" formatCode="0.000"/>
    <numFmt numFmtId="168" formatCode="0.0"/>
    <numFmt numFmtId="169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i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19.7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4" customFormat="false" ht="23.85" hidden="false" customHeight="false" outlineLevel="0" collapsed="false">
      <c r="B4" s="3" t="s">
        <v>2</v>
      </c>
    </row>
    <row r="6" customFormat="false" ht="15" hidden="false" customHeight="false" outlineLevel="0" collapsed="false">
      <c r="B6" s="2" t="s">
        <v>3</v>
      </c>
    </row>
    <row r="7" customFormat="false" ht="35.05" hidden="false" customHeight="false" outlineLevel="0" collapsed="false">
      <c r="B7" s="3" t="s">
        <v>4</v>
      </c>
    </row>
    <row r="9" customFormat="false" ht="15" hidden="false" customHeight="false" outlineLevel="0" collapsed="false">
      <c r="B9" s="2" t="s">
        <v>5</v>
      </c>
    </row>
    <row r="10" customFormat="false" ht="23.85" hidden="false" customHeight="false" outlineLevel="0" collapsed="false">
      <c r="B10" s="3" t="s">
        <v>6</v>
      </c>
    </row>
    <row r="12" customFormat="false" ht="15" hidden="false" customHeight="false" outlineLevel="0" collapsed="false">
      <c r="B12" s="2" t="s">
        <v>7</v>
      </c>
    </row>
    <row r="13" customFormat="false" ht="15" hidden="false" customHeight="false" outlineLevel="0" collapsed="false">
      <c r="B13" s="0" t="s">
        <v>8</v>
      </c>
    </row>
    <row r="14" customFormat="false" ht="15" hidden="false" customHeight="false" outlineLevel="0" collapsed="false">
      <c r="B14" s="0" t="s">
        <v>9</v>
      </c>
    </row>
    <row r="15" customFormat="false" ht="15" hidden="false" customHeight="false" outlineLevel="0" collapsed="false">
      <c r="B15" s="0" t="s">
        <v>10</v>
      </c>
    </row>
    <row r="17" customFormat="false" ht="15" hidden="false" customHeight="false" outlineLevel="0" collapsed="false">
      <c r="B17" s="2" t="s">
        <v>11</v>
      </c>
    </row>
    <row r="18" customFormat="false" ht="15" hidden="false" customHeight="false" outlineLevel="0" collapsed="false">
      <c r="B18" s="0" t="s">
        <v>12</v>
      </c>
    </row>
    <row r="19" customFormat="false" ht="15" hidden="false" customHeight="false" outlineLevel="0" collapsed="false">
      <c r="B19" s="0" t="s">
        <v>13</v>
      </c>
    </row>
    <row r="20" customFormat="false" ht="15" hidden="false" customHeight="false" outlineLevel="0" collapsed="false">
      <c r="B20" s="0" t="s">
        <v>14</v>
      </c>
    </row>
    <row r="21" customFormat="false" ht="15" hidden="false" customHeight="false" outlineLevel="0" collapsed="false">
      <c r="B21" s="0" t="s">
        <v>15</v>
      </c>
    </row>
    <row r="22" customFormat="false" ht="15" hidden="false" customHeight="false" outlineLevel="0" collapsed="false">
      <c r="B22" s="0" t="s">
        <v>16</v>
      </c>
    </row>
    <row r="23" customFormat="false" ht="15" hidden="false" customHeight="false" outlineLevel="0" collapsed="false">
      <c r="B23" s="0" t="s">
        <v>17</v>
      </c>
    </row>
    <row r="24" customFormat="false" ht="15" hidden="false" customHeight="false" outlineLevel="0" collapsed="false">
      <c r="B24" s="0" t="s">
        <v>18</v>
      </c>
    </row>
    <row r="26" customFormat="false" ht="15" hidden="false" customHeight="false" outlineLevel="0" collapsed="false">
      <c r="B26" s="2" t="s">
        <v>19</v>
      </c>
    </row>
    <row r="27" customFormat="false" ht="35.05" hidden="false" customHeight="false" outlineLevel="0" collapsed="false">
      <c r="B27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7.35" hidden="false" customHeight="false" outlineLevel="0" collapsed="false">
      <c r="B1" s="4" t="s">
        <v>21</v>
      </c>
    </row>
    <row r="2" customFormat="false" ht="15" hidden="false" customHeight="false" outlineLevel="0" collapsed="false">
      <c r="B2" s="5" t="s">
        <v>22</v>
      </c>
    </row>
    <row r="4" customFormat="false" ht="15" hidden="false" customHeight="false" outlineLevel="0" collapsed="false">
      <c r="B4" s="6" t="s">
        <v>23</v>
      </c>
      <c r="C4" s="6"/>
      <c r="D4" s="6"/>
    </row>
    <row r="5" customFormat="false" ht="15" hidden="false" customHeight="false" outlineLevel="0" collapsed="false">
      <c r="B5" s="7" t="s">
        <v>24</v>
      </c>
      <c r="C5" s="8" t="n">
        <v>65</v>
      </c>
      <c r="D5" s="5" t="s">
        <v>25</v>
      </c>
    </row>
    <row r="6" customFormat="false" ht="15" hidden="false" customHeight="false" outlineLevel="0" collapsed="false">
      <c r="B6" s="7" t="s">
        <v>26</v>
      </c>
      <c r="C6" s="8" t="n">
        <v>90</v>
      </c>
      <c r="D6" s="5" t="s">
        <v>27</v>
      </c>
    </row>
    <row r="7" customFormat="false" ht="15" hidden="false" customHeight="false" outlineLevel="0" collapsed="false">
      <c r="B7" s="7" t="s">
        <v>28</v>
      </c>
      <c r="C7" s="9" t="n">
        <v>0.25</v>
      </c>
      <c r="D7" s="5" t="s">
        <v>29</v>
      </c>
    </row>
    <row r="8" customFormat="false" ht="15" hidden="false" customHeight="false" outlineLevel="0" collapsed="false">
      <c r="B8" s="7" t="s">
        <v>30</v>
      </c>
      <c r="C8" s="9" t="n">
        <v>0.3</v>
      </c>
      <c r="D8" s="5" t="s">
        <v>31</v>
      </c>
    </row>
    <row r="10" customFormat="false" ht="15" hidden="false" customHeight="false" outlineLevel="0" collapsed="false">
      <c r="B10" s="6" t="s">
        <v>32</v>
      </c>
      <c r="C10" s="6"/>
      <c r="D10" s="6"/>
    </row>
    <row r="11" customFormat="false" ht="15" hidden="false" customHeight="false" outlineLevel="0" collapsed="false">
      <c r="B11" s="7" t="s">
        <v>33</v>
      </c>
      <c r="C11" s="8" t="n">
        <v>65</v>
      </c>
      <c r="D11" s="5" t="s">
        <v>34</v>
      </c>
    </row>
    <row r="12" customFormat="false" ht="15" hidden="false" customHeight="false" outlineLevel="0" collapsed="false">
      <c r="B12" s="7" t="s">
        <v>35</v>
      </c>
      <c r="C12" s="8" t="n">
        <v>12</v>
      </c>
      <c r="D12" s="5" t="s">
        <v>36</v>
      </c>
    </row>
    <row r="13" customFormat="false" ht="15" hidden="false" customHeight="false" outlineLevel="0" collapsed="false">
      <c r="B13" s="7" t="s">
        <v>37</v>
      </c>
      <c r="C13" s="8" t="n">
        <v>65</v>
      </c>
    </row>
    <row r="14" customFormat="false" ht="15" hidden="false" customHeight="false" outlineLevel="0" collapsed="false">
      <c r="B14" s="7" t="s">
        <v>38</v>
      </c>
      <c r="C14" s="8" t="n">
        <v>12</v>
      </c>
    </row>
    <row r="16" customFormat="false" ht="15" hidden="false" customHeight="false" outlineLevel="0" collapsed="false">
      <c r="B16" s="6" t="s">
        <v>39</v>
      </c>
      <c r="C16" s="6"/>
      <c r="D16" s="6"/>
    </row>
    <row r="17" customFormat="false" ht="15" hidden="false" customHeight="false" outlineLevel="0" collapsed="false">
      <c r="B17" s="7" t="s">
        <v>40</v>
      </c>
      <c r="C17" s="9" t="n">
        <v>0.85</v>
      </c>
      <c r="D17" s="5" t="s">
        <v>41</v>
      </c>
    </row>
    <row r="18" customFormat="false" ht="15" hidden="false" customHeight="false" outlineLevel="0" collapsed="false">
      <c r="B18" s="7" t="s">
        <v>42</v>
      </c>
      <c r="C18" s="10" t="n">
        <v>0.004</v>
      </c>
      <c r="D18" s="5" t="s">
        <v>43</v>
      </c>
    </row>
    <row r="19" customFormat="false" ht="15" hidden="false" customHeight="false" outlineLevel="0" collapsed="false">
      <c r="B19" s="7" t="s">
        <v>44</v>
      </c>
      <c r="C19" s="9" t="n">
        <v>0.1</v>
      </c>
      <c r="D19" s="5" t="s">
        <v>45</v>
      </c>
    </row>
    <row r="20" customFormat="false" ht="15" hidden="false" customHeight="false" outlineLevel="0" collapsed="false">
      <c r="B20" s="7" t="s">
        <v>46</v>
      </c>
      <c r="C20" s="10" t="n">
        <v>0.003</v>
      </c>
      <c r="D20" s="5" t="s">
        <v>43</v>
      </c>
    </row>
    <row r="22" customFormat="false" ht="15" hidden="false" customHeight="false" outlineLevel="0" collapsed="false">
      <c r="B22" s="6" t="s">
        <v>47</v>
      </c>
      <c r="C22" s="6"/>
      <c r="D22" s="6"/>
    </row>
    <row r="23" customFormat="false" ht="15" hidden="false" customHeight="false" outlineLevel="0" collapsed="false">
      <c r="B23" s="7" t="s">
        <v>48</v>
      </c>
      <c r="C23" s="9" t="n">
        <v>0.88</v>
      </c>
      <c r="D23" s="5" t="s">
        <v>49</v>
      </c>
    </row>
    <row r="24" customFormat="false" ht="15" hidden="false" customHeight="false" outlineLevel="0" collapsed="false">
      <c r="B24" s="7" t="s">
        <v>50</v>
      </c>
      <c r="C24" s="10" t="n">
        <v>0.003</v>
      </c>
      <c r="D24" s="5" t="s">
        <v>51</v>
      </c>
    </row>
    <row r="26" customFormat="false" ht="15" hidden="false" customHeight="false" outlineLevel="0" collapsed="false">
      <c r="B26" s="6" t="s">
        <v>52</v>
      </c>
      <c r="C26" s="6"/>
      <c r="D26" s="6"/>
    </row>
    <row r="27" customFormat="false" ht="15" hidden="false" customHeight="false" outlineLevel="0" collapsed="false">
      <c r="B27" s="7" t="s">
        <v>53</v>
      </c>
      <c r="C27" s="9" t="n">
        <v>0.65</v>
      </c>
      <c r="D27" s="5" t="s">
        <v>54</v>
      </c>
    </row>
    <row r="28" customFormat="false" ht="15" hidden="false" customHeight="false" outlineLevel="0" collapsed="false">
      <c r="B28" s="7" t="s">
        <v>55</v>
      </c>
      <c r="C28" s="9" t="n">
        <v>0.18</v>
      </c>
      <c r="D28" s="5" t="s">
        <v>56</v>
      </c>
    </row>
    <row r="30" customFormat="false" ht="15" hidden="false" customHeight="false" outlineLevel="0" collapsed="false">
      <c r="B30" s="6" t="s">
        <v>57</v>
      </c>
      <c r="C30" s="6"/>
      <c r="D30" s="6"/>
    </row>
    <row r="31" customFormat="false" ht="15" hidden="false" customHeight="false" outlineLevel="0" collapsed="false">
      <c r="B31" s="7" t="s">
        <v>58</v>
      </c>
      <c r="C31" s="9" t="n">
        <v>0.3</v>
      </c>
      <c r="D31" s="5" t="s">
        <v>59</v>
      </c>
    </row>
    <row r="32" customFormat="false" ht="15" hidden="false" customHeight="false" outlineLevel="0" collapsed="false">
      <c r="B32" s="7" t="s">
        <v>60</v>
      </c>
      <c r="C32" s="9" t="n">
        <v>0.25</v>
      </c>
    </row>
    <row r="33" customFormat="false" ht="15" hidden="false" customHeight="false" outlineLevel="0" collapsed="false">
      <c r="B33" s="7" t="s">
        <v>61</v>
      </c>
      <c r="C33" s="10" t="n">
        <v>0.003</v>
      </c>
    </row>
    <row r="35" customFormat="false" ht="15" hidden="false" customHeight="false" outlineLevel="0" collapsed="false">
      <c r="B35" s="6" t="s">
        <v>62</v>
      </c>
      <c r="C35" s="6"/>
      <c r="D35" s="6"/>
    </row>
    <row r="36" customFormat="false" ht="15" hidden="false" customHeight="false" outlineLevel="0" collapsed="false">
      <c r="B36" s="7" t="s">
        <v>63</v>
      </c>
      <c r="C36" s="9" t="n">
        <v>0.7</v>
      </c>
      <c r="D36" s="5" t="s">
        <v>64</v>
      </c>
    </row>
    <row r="37" customFormat="false" ht="15" hidden="false" customHeight="false" outlineLevel="0" collapsed="false">
      <c r="B37" s="7" t="s">
        <v>65</v>
      </c>
      <c r="C37" s="9" t="n">
        <v>0.65</v>
      </c>
      <c r="D37" s="5" t="s">
        <v>66</v>
      </c>
    </row>
    <row r="38" customFormat="false" ht="15" hidden="false" customHeight="false" outlineLevel="0" collapsed="false">
      <c r="B38" s="7" t="s">
        <v>67</v>
      </c>
      <c r="C38" s="9" t="n">
        <v>0.75</v>
      </c>
      <c r="D38" s="5" t="s">
        <v>68</v>
      </c>
    </row>
    <row r="40" customFormat="false" ht="15" hidden="false" customHeight="false" outlineLevel="0" collapsed="false">
      <c r="B40" s="6" t="s">
        <v>69</v>
      </c>
      <c r="C40" s="6"/>
      <c r="D40" s="6"/>
    </row>
    <row r="41" customFormat="false" ht="15" hidden="false" customHeight="false" outlineLevel="0" collapsed="false">
      <c r="B41" s="7" t="s">
        <v>70</v>
      </c>
      <c r="C41" s="9" t="n">
        <v>0.25</v>
      </c>
      <c r="D41" s="5" t="s">
        <v>71</v>
      </c>
    </row>
    <row r="42" customFormat="false" ht="15" hidden="false" customHeight="false" outlineLevel="0" collapsed="false">
      <c r="B42" s="7" t="s">
        <v>72</v>
      </c>
      <c r="C42" s="9" t="n">
        <v>0.04</v>
      </c>
      <c r="D42" s="5" t="s">
        <v>73</v>
      </c>
    </row>
  </sheetData>
  <mergeCells count="8">
    <mergeCell ref="B4:D4"/>
    <mergeCell ref="B10:D10"/>
    <mergeCell ref="B16:D16"/>
    <mergeCell ref="B22:D22"/>
    <mergeCell ref="B26:D26"/>
    <mergeCell ref="B30:D30"/>
    <mergeCell ref="B35:D35"/>
    <mergeCell ref="B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5" min="2" style="0" width="11"/>
    <col collapsed="false" customWidth="true" hidden="false" outlineLevel="0" max="13" min="6" style="0" width="9"/>
    <col collapsed="false" customWidth="true" hidden="false" outlineLevel="0" max="14" min="14" style="0" width="8"/>
    <col collapsed="false" customWidth="true" hidden="false" outlineLevel="0" max="25" min="15" style="0" width="9"/>
  </cols>
  <sheetData>
    <row r="1" customFormat="false" ht="17.35" hidden="false" customHeight="false" outlineLevel="0" collapsed="false">
      <c r="A1" s="4" t="s">
        <v>74</v>
      </c>
    </row>
    <row r="3" customFormat="false" ht="15" hidden="false" customHeight="false" outlineLevel="0" collapsed="false">
      <c r="A3" s="11" t="s">
        <v>75</v>
      </c>
      <c r="B3" s="11" t="s">
        <v>76</v>
      </c>
      <c r="C3" s="11" t="s">
        <v>77</v>
      </c>
      <c r="D3" s="11" t="s">
        <v>78</v>
      </c>
      <c r="E3" s="11" t="s">
        <v>79</v>
      </c>
      <c r="F3" s="11" t="s">
        <v>80</v>
      </c>
      <c r="G3" s="11" t="s">
        <v>81</v>
      </c>
      <c r="H3" s="11" t="s">
        <v>82</v>
      </c>
      <c r="I3" s="11" t="s">
        <v>83</v>
      </c>
      <c r="J3" s="11" t="s">
        <v>84</v>
      </c>
      <c r="K3" s="11" t="s">
        <v>85</v>
      </c>
      <c r="L3" s="11" t="s">
        <v>86</v>
      </c>
      <c r="M3" s="11" t="s">
        <v>87</v>
      </c>
      <c r="N3" s="11" t="s">
        <v>88</v>
      </c>
      <c r="O3" s="11" t="s">
        <v>89</v>
      </c>
      <c r="P3" s="11" t="s">
        <v>90</v>
      </c>
      <c r="Q3" s="11" t="s">
        <v>91</v>
      </c>
      <c r="R3" s="11" t="s">
        <v>92</v>
      </c>
      <c r="S3" s="11" t="s">
        <v>93</v>
      </c>
      <c r="T3" s="11" t="s">
        <v>94</v>
      </c>
      <c r="U3" s="11" t="s">
        <v>95</v>
      </c>
      <c r="V3" s="11" t="s">
        <v>96</v>
      </c>
      <c r="W3" s="11" t="s">
        <v>97</v>
      </c>
      <c r="X3" s="11" t="s">
        <v>98</v>
      </c>
      <c r="Y3" s="11" t="s">
        <v>99</v>
      </c>
      <c r="Z3" s="11" t="s">
        <v>100</v>
      </c>
      <c r="AA3" s="11" t="s">
        <v>101</v>
      </c>
      <c r="AB3" s="11" t="s">
        <v>102</v>
      </c>
      <c r="AC3" s="11" t="s">
        <v>103</v>
      </c>
      <c r="AD3" s="11" t="s">
        <v>104</v>
      </c>
      <c r="AE3" s="11" t="s">
        <v>105</v>
      </c>
      <c r="AF3" s="11" t="s">
        <v>106</v>
      </c>
      <c r="AG3" s="11" t="s">
        <v>107</v>
      </c>
      <c r="AH3" s="11" t="s">
        <v>108</v>
      </c>
      <c r="AI3" s="11" t="s">
        <v>109</v>
      </c>
      <c r="AJ3" s="11" t="s">
        <v>110</v>
      </c>
      <c r="AK3" s="11" t="s">
        <v>111</v>
      </c>
    </row>
    <row r="4" customFormat="false" ht="15" hidden="false" customHeight="false" outlineLevel="0" collapsed="false">
      <c r="A4" s="12" t="n">
        <v>1</v>
      </c>
      <c r="B4" s="13" t="n">
        <f aca="true">ROUND(MAX(30,MIN(95,Inputs!$C$11+(RAND()+RAND()+RAND()-1.5)*Inputs!$C$12*2)),0)</f>
        <v>56</v>
      </c>
      <c r="C4" s="13" t="n">
        <f aca="true">ROUND(MAX(30,MIN(95,Inputs!$C$11+(RAND()+RAND()+RAND()-1.5)*Inputs!$C$12*2)),0)</f>
        <v>51</v>
      </c>
      <c r="D4" s="13" t="n">
        <f aca="true">ROUND(MAX(30,MIN(95,Inputs!$C$13+(RAND()+RAND()+RAND()-1.5)*Inputs!$C$14*2)),0)</f>
        <v>74</v>
      </c>
      <c r="E4" s="13" t="n">
        <f aca="true">ROUND(MAX(30,MIN(95,Inputs!$C$13+(RAND()+RAND()+RAND()-1.5)*Inputs!$C$14*2)),0)</f>
        <v>53</v>
      </c>
      <c r="F4" s="13" t="n">
        <f aca="false">RANDBETWEEN(Inputs!$C$5,Inputs!$C$6)</f>
        <v>68</v>
      </c>
      <c r="G4" s="13" t="n">
        <f aca="false">ROUND(F4*Inputs!$C$7*Inputs!$C$8,0)</f>
        <v>5</v>
      </c>
      <c r="H4" s="13" t="n">
        <f aca="false">ROUND(F4*Inputs!$C$7*(1-Inputs!$C$8),0)</f>
        <v>12</v>
      </c>
      <c r="I4" s="13" t="n">
        <f aca="false">F4-G4-H4</f>
        <v>51</v>
      </c>
      <c r="J4" s="14" t="n">
        <f aca="false">(G4/2)*MAX(0,MIN(1,Inputs!$C$19+(B4-C4)*Inputs!$C$20))</f>
        <v>0.2875</v>
      </c>
      <c r="K4" s="14" t="n">
        <f aca="false">(G4/2)*MAX(0,MIN(1,Inputs!$C$19+(C4-B4)*Inputs!$C$20))</f>
        <v>0.2125</v>
      </c>
      <c r="L4" s="14" t="n">
        <f aca="false">(H4/2)*MAX(0,1-MIN(1,Inputs!$C$23+(C4-B4)*Inputs!$C$24))*0.5</f>
        <v>0.405</v>
      </c>
      <c r="M4" s="14" t="n">
        <f aca="false">(H4/2)*MAX(0,1-MIN(1,Inputs!$C$23+(B4-C4)*Inputs!$C$24))*0.5</f>
        <v>0.315</v>
      </c>
      <c r="N4" s="13" t="n">
        <f aca="false">ROUND(F4*(0.5+(B4-C4)*0.005),0)</f>
        <v>36</v>
      </c>
      <c r="O4" s="13" t="n">
        <f aca="false">F4-N4</f>
        <v>32</v>
      </c>
      <c r="P4" s="14" t="n">
        <f aca="false">N4*MAX(0,MIN(1,Inputs!$C$32+(D4-E4)*Inputs!$C$33))</f>
        <v>11.268</v>
      </c>
      <c r="Q4" s="14" t="n">
        <f aca="false">O4*MAX(0,MIN(1,Inputs!$C$32+(E4-D4)*Inputs!$C$33))</f>
        <v>5.984</v>
      </c>
      <c r="R4" s="13" t="n">
        <f aca="false">ROUND(P4*Inputs!$C$31,0)</f>
        <v>3</v>
      </c>
      <c r="S4" s="13" t="n">
        <f aca="false">ROUND(Q4*Inputs!$C$31,0)</f>
        <v>2</v>
      </c>
      <c r="T4" s="14" t="n">
        <f aca="false">J4+L4+I4*Inputs!$C$28*0.5</f>
        <v>5.2825</v>
      </c>
      <c r="U4" s="14" t="n">
        <f aca="false">K4+M4+I4*Inputs!$C$28*0.5</f>
        <v>5.1175</v>
      </c>
      <c r="V4" s="14" t="n">
        <f aca="false">T4*Inputs!$C$36</f>
        <v>3.69775</v>
      </c>
      <c r="W4" s="14" t="n">
        <f aca="false">U4*Inputs!$C$36</f>
        <v>3.58225</v>
      </c>
      <c r="X4" s="14" t="n">
        <f aca="false">V4*Inputs!$C$37</f>
        <v>2.4035375</v>
      </c>
      <c r="Y4" s="14" t="n">
        <f aca="false">W4*Inputs!$C$37</f>
        <v>2.3284625</v>
      </c>
      <c r="Z4" s="14" t="n">
        <f aca="false">R4*Inputs!$C$38</f>
        <v>2.25</v>
      </c>
      <c r="AA4" s="14" t="n">
        <f aca="false">S4*Inputs!$C$38</f>
        <v>1.5</v>
      </c>
      <c r="AB4" s="13" t="n">
        <f aca="false">ROUND(R4*5+Z4*2+X4*3,0)</f>
        <v>27</v>
      </c>
      <c r="AC4" s="13" t="n">
        <f aca="false">ROUND(S4*5+AA4*2+Y4*3,0)</f>
        <v>20</v>
      </c>
      <c r="AD4" s="13" t="n">
        <f aca="true">IF(RAND()&lt;Inputs!$C$41,1,0)+IF(RAND()&lt;Inputs!$C$41,1,0)</f>
        <v>1</v>
      </c>
      <c r="AE4" s="13" t="n">
        <f aca="true">IF(RAND()&lt;Inputs!$C$42,1,0)+IF(RAND()&lt;Inputs!$C$42,1,0)</f>
        <v>0</v>
      </c>
      <c r="AF4" s="13" t="n">
        <f aca="false">AB4+AC4</f>
        <v>47</v>
      </c>
      <c r="AG4" s="13" t="n">
        <f aca="false">ABS(AB4-AC4)</f>
        <v>7</v>
      </c>
      <c r="AH4" s="13" t="n">
        <f aca="false">R4+S4</f>
        <v>5</v>
      </c>
      <c r="AI4" s="14" t="n">
        <f aca="false">V4+W4</f>
        <v>7.28</v>
      </c>
      <c r="AJ4" s="14" t="n">
        <f aca="false">X4+Y4</f>
        <v>4.732</v>
      </c>
      <c r="AK4" s="13" t="n">
        <f aca="false">IF(AB4=AC4,1,0)</f>
        <v>0</v>
      </c>
    </row>
    <row r="5" customFormat="false" ht="15" hidden="false" customHeight="false" outlineLevel="0" collapsed="false">
      <c r="A5" s="12" t="n">
        <v>2</v>
      </c>
      <c r="B5" s="13" t="n">
        <f aca="true">ROUND(MAX(30,MIN(95,Inputs!$C$11+(RAND()+RAND()+RAND()-1.5)*Inputs!$C$12*2)),0)</f>
        <v>48</v>
      </c>
      <c r="C5" s="13" t="n">
        <f aca="true">ROUND(MAX(30,MIN(95,Inputs!$C$11+(RAND()+RAND()+RAND()-1.5)*Inputs!$C$12*2)),0)</f>
        <v>60</v>
      </c>
      <c r="D5" s="13" t="n">
        <f aca="true">ROUND(MAX(30,MIN(95,Inputs!$C$13+(RAND()+RAND()+RAND()-1.5)*Inputs!$C$14*2)),0)</f>
        <v>55</v>
      </c>
      <c r="E5" s="13" t="n">
        <f aca="true">ROUND(MAX(30,MIN(95,Inputs!$C$13+(RAND()+RAND()+RAND()-1.5)*Inputs!$C$14*2)),0)</f>
        <v>59</v>
      </c>
      <c r="F5" s="13" t="n">
        <f aca="false">RANDBETWEEN(Inputs!$C$5,Inputs!$C$6)</f>
        <v>66</v>
      </c>
      <c r="G5" s="13" t="n">
        <f aca="false">ROUND(F5*Inputs!$C$7*Inputs!$C$8,0)</f>
        <v>5</v>
      </c>
      <c r="H5" s="13" t="n">
        <f aca="false">ROUND(F5*Inputs!$C$7*(1-Inputs!$C$8),0)</f>
        <v>12</v>
      </c>
      <c r="I5" s="13" t="n">
        <f aca="false">F5-G5-H5</f>
        <v>49</v>
      </c>
      <c r="J5" s="14" t="n">
        <f aca="false">(G5/2)*MAX(0,MIN(1,Inputs!$C$19+(B5-C5)*Inputs!$C$20))</f>
        <v>0.16</v>
      </c>
      <c r="K5" s="14" t="n">
        <f aca="false">(G5/2)*MAX(0,MIN(1,Inputs!$C$19+(C5-B5)*Inputs!$C$20))</f>
        <v>0.34</v>
      </c>
      <c r="L5" s="14" t="n">
        <f aca="false">(H5/2)*MAX(0,1-MIN(1,Inputs!$C$23+(C5-B5)*Inputs!$C$24))*0.5</f>
        <v>0.252</v>
      </c>
      <c r="M5" s="14" t="n">
        <f aca="false">(H5/2)*MAX(0,1-MIN(1,Inputs!$C$23+(B5-C5)*Inputs!$C$24))*0.5</f>
        <v>0.468</v>
      </c>
      <c r="N5" s="13" t="n">
        <f aca="false">ROUND(F5*(0.5+(B5-C5)*0.005),0)</f>
        <v>29</v>
      </c>
      <c r="O5" s="13" t="n">
        <f aca="false">F5-N5</f>
        <v>37</v>
      </c>
      <c r="P5" s="14" t="n">
        <f aca="false">N5*MAX(0,MIN(1,Inputs!$C$32+(D5-E5)*Inputs!$C$33))</f>
        <v>6.902</v>
      </c>
      <c r="Q5" s="14" t="n">
        <f aca="false">O5*MAX(0,MIN(1,Inputs!$C$32+(E5-D5)*Inputs!$C$33))</f>
        <v>9.694</v>
      </c>
      <c r="R5" s="13" t="n">
        <f aca="false">ROUND(P5*Inputs!$C$31,0)</f>
        <v>2</v>
      </c>
      <c r="S5" s="13" t="n">
        <f aca="false">ROUND(Q5*Inputs!$C$31,0)</f>
        <v>3</v>
      </c>
      <c r="T5" s="14" t="n">
        <f aca="false">J5+L5+I5*Inputs!$C$28*0.5</f>
        <v>4.822</v>
      </c>
      <c r="U5" s="14" t="n">
        <f aca="false">K5+M5+I5*Inputs!$C$28*0.5</f>
        <v>5.218</v>
      </c>
      <c r="V5" s="14" t="n">
        <f aca="false">T5*Inputs!$C$36</f>
        <v>3.3754</v>
      </c>
      <c r="W5" s="14" t="n">
        <f aca="false">U5*Inputs!$C$36</f>
        <v>3.6526</v>
      </c>
      <c r="X5" s="14" t="n">
        <f aca="false">V5*Inputs!$C$37</f>
        <v>2.19401</v>
      </c>
      <c r="Y5" s="14" t="n">
        <f aca="false">W5*Inputs!$C$37</f>
        <v>2.37419</v>
      </c>
      <c r="Z5" s="14" t="n">
        <f aca="false">R5*Inputs!$C$38</f>
        <v>1.5</v>
      </c>
      <c r="AA5" s="14" t="n">
        <f aca="false">S5*Inputs!$C$38</f>
        <v>2.25</v>
      </c>
      <c r="AB5" s="13" t="n">
        <f aca="false">ROUND(R5*5+Z5*2+X5*3,0)</f>
        <v>20</v>
      </c>
      <c r="AC5" s="13" t="n">
        <f aca="false">ROUND(S5*5+AA5*2+Y5*3,0)</f>
        <v>27</v>
      </c>
      <c r="AD5" s="13" t="n">
        <f aca="true">IF(RAND()&lt;Inputs!$C$41,1,0)+IF(RAND()&lt;Inputs!$C$41,1,0)</f>
        <v>0</v>
      </c>
      <c r="AE5" s="13" t="n">
        <f aca="true">IF(RAND()&lt;Inputs!$C$42,1,0)+IF(RAND()&lt;Inputs!$C$42,1,0)</f>
        <v>0</v>
      </c>
      <c r="AF5" s="13" t="n">
        <f aca="false">AB5+AC5</f>
        <v>47</v>
      </c>
      <c r="AG5" s="13" t="n">
        <f aca="false">ABS(AB5-AC5)</f>
        <v>7</v>
      </c>
      <c r="AH5" s="13" t="n">
        <f aca="false">R5+S5</f>
        <v>5</v>
      </c>
      <c r="AI5" s="14" t="n">
        <f aca="false">V5+W5</f>
        <v>7.028</v>
      </c>
      <c r="AJ5" s="14" t="n">
        <f aca="false">X5+Y5</f>
        <v>4.5682</v>
      </c>
      <c r="AK5" s="13" t="n">
        <f aca="false">IF(AB5=AC5,1,0)</f>
        <v>0</v>
      </c>
    </row>
    <row r="6" customFormat="false" ht="15" hidden="false" customHeight="false" outlineLevel="0" collapsed="false">
      <c r="A6" s="12" t="n">
        <v>3</v>
      </c>
      <c r="B6" s="13" t="n">
        <f aca="true">ROUND(MAX(30,MIN(95,Inputs!$C$11+(RAND()+RAND()+RAND()-1.5)*Inputs!$C$12*2)),0)</f>
        <v>44</v>
      </c>
      <c r="C6" s="13" t="n">
        <f aca="true">ROUND(MAX(30,MIN(95,Inputs!$C$11+(RAND()+RAND()+RAND()-1.5)*Inputs!$C$12*2)),0)</f>
        <v>93</v>
      </c>
      <c r="D6" s="13" t="n">
        <f aca="true">ROUND(MAX(30,MIN(95,Inputs!$C$13+(RAND()+RAND()+RAND()-1.5)*Inputs!$C$14*2)),0)</f>
        <v>94</v>
      </c>
      <c r="E6" s="13" t="n">
        <f aca="true">ROUND(MAX(30,MIN(95,Inputs!$C$13+(RAND()+RAND()+RAND()-1.5)*Inputs!$C$14*2)),0)</f>
        <v>60</v>
      </c>
      <c r="F6" s="13" t="n">
        <f aca="false">RANDBETWEEN(Inputs!$C$5,Inputs!$C$6)</f>
        <v>85</v>
      </c>
      <c r="G6" s="13" t="n">
        <f aca="false">ROUND(F6*Inputs!$C$7*Inputs!$C$8,0)</f>
        <v>6</v>
      </c>
      <c r="H6" s="13" t="n">
        <f aca="false">ROUND(F6*Inputs!$C$7*(1-Inputs!$C$8),0)</f>
        <v>15</v>
      </c>
      <c r="I6" s="13" t="n">
        <f aca="false">F6-G6-H6</f>
        <v>64</v>
      </c>
      <c r="J6" s="14" t="n">
        <f aca="false">(G6/2)*MAX(0,MIN(1,Inputs!$C$19+(B6-C6)*Inputs!$C$20))</f>
        <v>0</v>
      </c>
      <c r="K6" s="14" t="n">
        <f aca="false">(G6/2)*MAX(0,MIN(1,Inputs!$C$19+(C6-B6)*Inputs!$C$20))</f>
        <v>0.741</v>
      </c>
      <c r="L6" s="14" t="n">
        <f aca="false">(H6/2)*MAX(0,1-MIN(1,Inputs!$C$23+(C6-B6)*Inputs!$C$24))*0.5</f>
        <v>0</v>
      </c>
      <c r="M6" s="14" t="n">
        <f aca="false">(H6/2)*MAX(0,1-MIN(1,Inputs!$C$23+(B6-C6)*Inputs!$C$24))*0.5</f>
        <v>1.00125</v>
      </c>
      <c r="N6" s="13" t="n">
        <f aca="false">ROUND(F6*(0.5+(B6-C6)*0.005),0)</f>
        <v>22</v>
      </c>
      <c r="O6" s="13" t="n">
        <f aca="false">F6-N6</f>
        <v>63</v>
      </c>
      <c r="P6" s="14" t="n">
        <f aca="false">N6*MAX(0,MIN(1,Inputs!$C$32+(D6-E6)*Inputs!$C$33))</f>
        <v>7.744</v>
      </c>
      <c r="Q6" s="14" t="n">
        <f aca="false">O6*MAX(0,MIN(1,Inputs!$C$32+(E6-D6)*Inputs!$C$33))</f>
        <v>9.324</v>
      </c>
      <c r="R6" s="13" t="n">
        <f aca="false">ROUND(P6*Inputs!$C$31,0)</f>
        <v>2</v>
      </c>
      <c r="S6" s="13" t="n">
        <f aca="false">ROUND(Q6*Inputs!$C$31,0)</f>
        <v>3</v>
      </c>
      <c r="T6" s="14" t="n">
        <f aca="false">J6+L6+I6*Inputs!$C$28*0.5</f>
        <v>5.76</v>
      </c>
      <c r="U6" s="14" t="n">
        <f aca="false">K6+M6+I6*Inputs!$C$28*0.5</f>
        <v>7.50225</v>
      </c>
      <c r="V6" s="14" t="n">
        <f aca="false">T6*Inputs!$C$36</f>
        <v>4.032</v>
      </c>
      <c r="W6" s="14" t="n">
        <f aca="false">U6*Inputs!$C$36</f>
        <v>5.251575</v>
      </c>
      <c r="X6" s="14" t="n">
        <f aca="false">V6*Inputs!$C$37</f>
        <v>2.6208</v>
      </c>
      <c r="Y6" s="14" t="n">
        <f aca="false">W6*Inputs!$C$37</f>
        <v>3.41352375</v>
      </c>
      <c r="Z6" s="14" t="n">
        <f aca="false">R6*Inputs!$C$38</f>
        <v>1.5</v>
      </c>
      <c r="AA6" s="14" t="n">
        <f aca="false">S6*Inputs!$C$38</f>
        <v>2.25</v>
      </c>
      <c r="AB6" s="13" t="n">
        <f aca="false">ROUND(R6*5+Z6*2+X6*3,0)</f>
        <v>21</v>
      </c>
      <c r="AC6" s="13" t="n">
        <f aca="false">ROUND(S6*5+AA6*2+Y6*3,0)</f>
        <v>30</v>
      </c>
      <c r="AD6" s="13" t="n">
        <f aca="true">IF(RAND()&lt;Inputs!$C$41,1,0)+IF(RAND()&lt;Inputs!$C$41,1,0)</f>
        <v>1</v>
      </c>
      <c r="AE6" s="13" t="n">
        <f aca="true">IF(RAND()&lt;Inputs!$C$42,1,0)+IF(RAND()&lt;Inputs!$C$42,1,0)</f>
        <v>0</v>
      </c>
      <c r="AF6" s="13" t="n">
        <f aca="false">AB6+AC6</f>
        <v>51</v>
      </c>
      <c r="AG6" s="13" t="n">
        <f aca="false">ABS(AB6-AC6)</f>
        <v>9</v>
      </c>
      <c r="AH6" s="13" t="n">
        <f aca="false">R6+S6</f>
        <v>5</v>
      </c>
      <c r="AI6" s="14" t="n">
        <f aca="false">V6+W6</f>
        <v>9.283575</v>
      </c>
      <c r="AJ6" s="14" t="n">
        <f aca="false">X6+Y6</f>
        <v>6.03432375</v>
      </c>
      <c r="AK6" s="13" t="n">
        <f aca="false">IF(AB6=AC6,1,0)</f>
        <v>0</v>
      </c>
    </row>
    <row r="7" customFormat="false" ht="15" hidden="false" customHeight="false" outlineLevel="0" collapsed="false">
      <c r="A7" s="12" t="n">
        <v>4</v>
      </c>
      <c r="B7" s="13" t="n">
        <f aca="true">ROUND(MAX(30,MIN(95,Inputs!$C$11+(RAND()+RAND()+RAND()-1.5)*Inputs!$C$12*2)),0)</f>
        <v>60</v>
      </c>
      <c r="C7" s="13" t="n">
        <f aca="true">ROUND(MAX(30,MIN(95,Inputs!$C$11+(RAND()+RAND()+RAND()-1.5)*Inputs!$C$12*2)),0)</f>
        <v>87</v>
      </c>
      <c r="D7" s="13" t="n">
        <f aca="true">ROUND(MAX(30,MIN(95,Inputs!$C$13+(RAND()+RAND()+RAND()-1.5)*Inputs!$C$14*2)),0)</f>
        <v>42</v>
      </c>
      <c r="E7" s="13" t="n">
        <f aca="true">ROUND(MAX(30,MIN(95,Inputs!$C$13+(RAND()+RAND()+RAND()-1.5)*Inputs!$C$14*2)),0)</f>
        <v>71</v>
      </c>
      <c r="F7" s="13" t="n">
        <f aca="false">RANDBETWEEN(Inputs!$C$5,Inputs!$C$6)</f>
        <v>85</v>
      </c>
      <c r="G7" s="13" t="n">
        <f aca="false">ROUND(F7*Inputs!$C$7*Inputs!$C$8,0)</f>
        <v>6</v>
      </c>
      <c r="H7" s="13" t="n">
        <f aca="false">ROUND(F7*Inputs!$C$7*(1-Inputs!$C$8),0)</f>
        <v>15</v>
      </c>
      <c r="I7" s="13" t="n">
        <f aca="false">F7-G7-H7</f>
        <v>64</v>
      </c>
      <c r="J7" s="14" t="n">
        <f aca="false">(G7/2)*MAX(0,MIN(1,Inputs!$C$19+(B7-C7)*Inputs!$C$20))</f>
        <v>0.057</v>
      </c>
      <c r="K7" s="14" t="n">
        <f aca="false">(G7/2)*MAX(0,MIN(1,Inputs!$C$19+(C7-B7)*Inputs!$C$20))</f>
        <v>0.543</v>
      </c>
      <c r="L7" s="14" t="n">
        <f aca="false">(H7/2)*MAX(0,1-MIN(1,Inputs!$C$23+(C7-B7)*Inputs!$C$24))*0.5</f>
        <v>0.14625</v>
      </c>
      <c r="M7" s="14" t="n">
        <f aca="false">(H7/2)*MAX(0,1-MIN(1,Inputs!$C$23+(B7-C7)*Inputs!$C$24))*0.5</f>
        <v>0.75375</v>
      </c>
      <c r="N7" s="13" t="n">
        <f aca="false">ROUND(F7*(0.5+(B7-C7)*0.005),0)</f>
        <v>31</v>
      </c>
      <c r="O7" s="13" t="n">
        <f aca="false">F7-N7</f>
        <v>54</v>
      </c>
      <c r="P7" s="14" t="n">
        <f aca="false">N7*MAX(0,MIN(1,Inputs!$C$32+(D7-E7)*Inputs!$C$33))</f>
        <v>5.053</v>
      </c>
      <c r="Q7" s="14" t="n">
        <f aca="false">O7*MAX(0,MIN(1,Inputs!$C$32+(E7-D7)*Inputs!$C$33))</f>
        <v>18.198</v>
      </c>
      <c r="R7" s="13" t="n">
        <f aca="false">ROUND(P7*Inputs!$C$31,0)</f>
        <v>2</v>
      </c>
      <c r="S7" s="13" t="n">
        <f aca="false">ROUND(Q7*Inputs!$C$31,0)</f>
        <v>5</v>
      </c>
      <c r="T7" s="14" t="n">
        <f aca="false">J7+L7+I7*Inputs!$C$28*0.5</f>
        <v>5.96325</v>
      </c>
      <c r="U7" s="14" t="n">
        <f aca="false">K7+M7+I7*Inputs!$C$28*0.5</f>
        <v>7.05675</v>
      </c>
      <c r="V7" s="14" t="n">
        <f aca="false">T7*Inputs!$C$36</f>
        <v>4.174275</v>
      </c>
      <c r="W7" s="14" t="n">
        <f aca="false">U7*Inputs!$C$36</f>
        <v>4.939725</v>
      </c>
      <c r="X7" s="14" t="n">
        <f aca="false">V7*Inputs!$C$37</f>
        <v>2.71327875</v>
      </c>
      <c r="Y7" s="14" t="n">
        <f aca="false">W7*Inputs!$C$37</f>
        <v>3.21082125</v>
      </c>
      <c r="Z7" s="14" t="n">
        <f aca="false">R7*Inputs!$C$38</f>
        <v>1.5</v>
      </c>
      <c r="AA7" s="14" t="n">
        <f aca="false">S7*Inputs!$C$38</f>
        <v>3.75</v>
      </c>
      <c r="AB7" s="13" t="n">
        <f aca="false">ROUND(R7*5+Z7*2+X7*3,0)</f>
        <v>21</v>
      </c>
      <c r="AC7" s="13" t="n">
        <f aca="false">ROUND(S7*5+AA7*2+Y7*3,0)</f>
        <v>42</v>
      </c>
      <c r="AD7" s="13" t="n">
        <f aca="true">IF(RAND()&lt;Inputs!$C$41,1,0)+IF(RAND()&lt;Inputs!$C$41,1,0)</f>
        <v>0</v>
      </c>
      <c r="AE7" s="13" t="n">
        <f aca="true">IF(RAND()&lt;Inputs!$C$42,1,0)+IF(RAND()&lt;Inputs!$C$42,1,0)</f>
        <v>0</v>
      </c>
      <c r="AF7" s="13" t="n">
        <f aca="false">AB7+AC7</f>
        <v>63</v>
      </c>
      <c r="AG7" s="13" t="n">
        <f aca="false">ABS(AB7-AC7)</f>
        <v>21</v>
      </c>
      <c r="AH7" s="13" t="n">
        <f aca="false">R7+S7</f>
        <v>7</v>
      </c>
      <c r="AI7" s="14" t="n">
        <f aca="false">V7+W7</f>
        <v>9.114</v>
      </c>
      <c r="AJ7" s="14" t="n">
        <f aca="false">X7+Y7</f>
        <v>5.9241</v>
      </c>
      <c r="AK7" s="13" t="n">
        <f aca="false">IF(AB7=AC7,1,0)</f>
        <v>0</v>
      </c>
    </row>
    <row r="8" customFormat="false" ht="15" hidden="false" customHeight="false" outlineLevel="0" collapsed="false">
      <c r="A8" s="12" t="n">
        <v>5</v>
      </c>
      <c r="B8" s="13" t="n">
        <f aca="true">ROUND(MAX(30,MIN(95,Inputs!$C$11+(RAND()+RAND()+RAND()-1.5)*Inputs!$C$12*2)),0)</f>
        <v>76</v>
      </c>
      <c r="C8" s="13" t="n">
        <f aca="true">ROUND(MAX(30,MIN(95,Inputs!$C$11+(RAND()+RAND()+RAND()-1.5)*Inputs!$C$12*2)),0)</f>
        <v>71</v>
      </c>
      <c r="D8" s="13" t="n">
        <f aca="true">ROUND(MAX(30,MIN(95,Inputs!$C$13+(RAND()+RAND()+RAND()-1.5)*Inputs!$C$14*2)),0)</f>
        <v>56</v>
      </c>
      <c r="E8" s="13" t="n">
        <f aca="true">ROUND(MAX(30,MIN(95,Inputs!$C$13+(RAND()+RAND()+RAND()-1.5)*Inputs!$C$14*2)),0)</f>
        <v>75</v>
      </c>
      <c r="F8" s="13" t="n">
        <f aca="false">RANDBETWEEN(Inputs!$C$5,Inputs!$C$6)</f>
        <v>84</v>
      </c>
      <c r="G8" s="13" t="n">
        <f aca="false">ROUND(F8*Inputs!$C$7*Inputs!$C$8,0)</f>
        <v>6</v>
      </c>
      <c r="H8" s="13" t="n">
        <f aca="false">ROUND(F8*Inputs!$C$7*(1-Inputs!$C$8),0)</f>
        <v>15</v>
      </c>
      <c r="I8" s="13" t="n">
        <f aca="false">F8-G8-H8</f>
        <v>63</v>
      </c>
      <c r="J8" s="14" t="n">
        <f aca="false">(G8/2)*MAX(0,MIN(1,Inputs!$C$19+(B8-C8)*Inputs!$C$20))</f>
        <v>0.345</v>
      </c>
      <c r="K8" s="14" t="n">
        <f aca="false">(G8/2)*MAX(0,MIN(1,Inputs!$C$19+(C8-B8)*Inputs!$C$20))</f>
        <v>0.255</v>
      </c>
      <c r="L8" s="14" t="n">
        <f aca="false">(H8/2)*MAX(0,1-MIN(1,Inputs!$C$23+(C8-B8)*Inputs!$C$24))*0.5</f>
        <v>0.50625</v>
      </c>
      <c r="M8" s="14" t="n">
        <f aca="false">(H8/2)*MAX(0,1-MIN(1,Inputs!$C$23+(B8-C8)*Inputs!$C$24))*0.5</f>
        <v>0.39375</v>
      </c>
      <c r="N8" s="13" t="n">
        <f aca="false">ROUND(F8*(0.5+(B8-C8)*0.005),0)</f>
        <v>44</v>
      </c>
      <c r="O8" s="13" t="n">
        <f aca="false">F8-N8</f>
        <v>40</v>
      </c>
      <c r="P8" s="14" t="n">
        <f aca="false">N8*MAX(0,MIN(1,Inputs!$C$32+(D8-E8)*Inputs!$C$33))</f>
        <v>8.492</v>
      </c>
      <c r="Q8" s="14" t="n">
        <f aca="false">O8*MAX(0,MIN(1,Inputs!$C$32+(E8-D8)*Inputs!$C$33))</f>
        <v>12.28</v>
      </c>
      <c r="R8" s="13" t="n">
        <f aca="false">ROUND(P8*Inputs!$C$31,0)</f>
        <v>3</v>
      </c>
      <c r="S8" s="13" t="n">
        <f aca="false">ROUND(Q8*Inputs!$C$31,0)</f>
        <v>4</v>
      </c>
      <c r="T8" s="14" t="n">
        <f aca="false">J8+L8+I8*Inputs!$C$28*0.5</f>
        <v>6.52125</v>
      </c>
      <c r="U8" s="14" t="n">
        <f aca="false">K8+M8+I8*Inputs!$C$28*0.5</f>
        <v>6.31875</v>
      </c>
      <c r="V8" s="14" t="n">
        <f aca="false">T8*Inputs!$C$36</f>
        <v>4.564875</v>
      </c>
      <c r="W8" s="14" t="n">
        <f aca="false">U8*Inputs!$C$36</f>
        <v>4.423125</v>
      </c>
      <c r="X8" s="14" t="n">
        <f aca="false">V8*Inputs!$C$37</f>
        <v>2.96716875</v>
      </c>
      <c r="Y8" s="14" t="n">
        <f aca="false">W8*Inputs!$C$37</f>
        <v>2.87503125</v>
      </c>
      <c r="Z8" s="14" t="n">
        <f aca="false">R8*Inputs!$C$38</f>
        <v>2.25</v>
      </c>
      <c r="AA8" s="14" t="n">
        <f aca="false">S8*Inputs!$C$38</f>
        <v>3</v>
      </c>
      <c r="AB8" s="13" t="n">
        <f aca="false">ROUND(R8*5+Z8*2+X8*3,0)</f>
        <v>28</v>
      </c>
      <c r="AC8" s="13" t="n">
        <f aca="false">ROUND(S8*5+AA8*2+Y8*3,0)</f>
        <v>35</v>
      </c>
      <c r="AD8" s="13" t="n">
        <f aca="true">IF(RAND()&lt;Inputs!$C$41,1,0)+IF(RAND()&lt;Inputs!$C$41,1,0)</f>
        <v>0</v>
      </c>
      <c r="AE8" s="13" t="n">
        <f aca="true">IF(RAND()&lt;Inputs!$C$42,1,0)+IF(RAND()&lt;Inputs!$C$42,1,0)</f>
        <v>0</v>
      </c>
      <c r="AF8" s="13" t="n">
        <f aca="false">AB8+AC8</f>
        <v>63</v>
      </c>
      <c r="AG8" s="13" t="n">
        <f aca="false">ABS(AB8-AC8)</f>
        <v>7</v>
      </c>
      <c r="AH8" s="13" t="n">
        <f aca="false">R8+S8</f>
        <v>7</v>
      </c>
      <c r="AI8" s="14" t="n">
        <f aca="false">V8+W8</f>
        <v>8.988</v>
      </c>
      <c r="AJ8" s="14" t="n">
        <f aca="false">X8+Y8</f>
        <v>5.8422</v>
      </c>
      <c r="AK8" s="13" t="n">
        <f aca="false">IF(AB8=AC8,1,0)</f>
        <v>0</v>
      </c>
    </row>
    <row r="9" customFormat="false" ht="15" hidden="false" customHeight="false" outlineLevel="0" collapsed="false">
      <c r="A9" s="12" t="n">
        <v>6</v>
      </c>
      <c r="B9" s="13" t="n">
        <f aca="true">ROUND(MAX(30,MIN(95,Inputs!$C$11+(RAND()+RAND()+RAND()-1.5)*Inputs!$C$12*2)),0)</f>
        <v>80</v>
      </c>
      <c r="C9" s="13" t="n">
        <f aca="true">ROUND(MAX(30,MIN(95,Inputs!$C$11+(RAND()+RAND()+RAND()-1.5)*Inputs!$C$12*2)),0)</f>
        <v>55</v>
      </c>
      <c r="D9" s="13" t="n">
        <f aca="true">ROUND(MAX(30,MIN(95,Inputs!$C$13+(RAND()+RAND()+RAND()-1.5)*Inputs!$C$14*2)),0)</f>
        <v>68</v>
      </c>
      <c r="E9" s="13" t="n">
        <f aca="true">ROUND(MAX(30,MIN(95,Inputs!$C$13+(RAND()+RAND()+RAND()-1.5)*Inputs!$C$14*2)),0)</f>
        <v>81</v>
      </c>
      <c r="F9" s="13" t="n">
        <f aca="false">RANDBETWEEN(Inputs!$C$5,Inputs!$C$6)</f>
        <v>88</v>
      </c>
      <c r="G9" s="13" t="n">
        <f aca="false">ROUND(F9*Inputs!$C$7*Inputs!$C$8,0)</f>
        <v>7</v>
      </c>
      <c r="H9" s="13" t="n">
        <f aca="false">ROUND(F9*Inputs!$C$7*(1-Inputs!$C$8),0)</f>
        <v>15</v>
      </c>
      <c r="I9" s="13" t="n">
        <f aca="false">F9-G9-H9</f>
        <v>66</v>
      </c>
      <c r="J9" s="14" t="n">
        <f aca="false">(G9/2)*MAX(0,MIN(1,Inputs!$C$19+(B9-C9)*Inputs!$C$20))</f>
        <v>0.6125</v>
      </c>
      <c r="K9" s="14" t="n">
        <f aca="false">(G9/2)*MAX(0,MIN(1,Inputs!$C$19+(C9-B9)*Inputs!$C$20))</f>
        <v>0.0875</v>
      </c>
      <c r="L9" s="14" t="n">
        <f aca="false">(H9/2)*MAX(0,1-MIN(1,Inputs!$C$23+(C9-B9)*Inputs!$C$24))*0.5</f>
        <v>0.73125</v>
      </c>
      <c r="M9" s="14" t="n">
        <f aca="false">(H9/2)*MAX(0,1-MIN(1,Inputs!$C$23+(B9-C9)*Inputs!$C$24))*0.5</f>
        <v>0.16875</v>
      </c>
      <c r="N9" s="13" t="n">
        <f aca="false">ROUND(F9*(0.5+(B9-C9)*0.005),0)</f>
        <v>55</v>
      </c>
      <c r="O9" s="13" t="n">
        <f aca="false">F9-N9</f>
        <v>33</v>
      </c>
      <c r="P9" s="14" t="n">
        <f aca="false">N9*MAX(0,MIN(1,Inputs!$C$32+(D9-E9)*Inputs!$C$33))</f>
        <v>11.605</v>
      </c>
      <c r="Q9" s="14" t="n">
        <f aca="false">O9*MAX(0,MIN(1,Inputs!$C$32+(E9-D9)*Inputs!$C$33))</f>
        <v>9.537</v>
      </c>
      <c r="R9" s="13" t="n">
        <f aca="false">ROUND(P9*Inputs!$C$31,0)</f>
        <v>3</v>
      </c>
      <c r="S9" s="13" t="n">
        <f aca="false">ROUND(Q9*Inputs!$C$31,0)</f>
        <v>3</v>
      </c>
      <c r="T9" s="14" t="n">
        <f aca="false">J9+L9+I9*Inputs!$C$28*0.5</f>
        <v>7.28375</v>
      </c>
      <c r="U9" s="14" t="n">
        <f aca="false">K9+M9+I9*Inputs!$C$28*0.5</f>
        <v>6.19625</v>
      </c>
      <c r="V9" s="14" t="n">
        <f aca="false">T9*Inputs!$C$36</f>
        <v>5.098625</v>
      </c>
      <c r="W9" s="14" t="n">
        <f aca="false">U9*Inputs!$C$36</f>
        <v>4.337375</v>
      </c>
      <c r="X9" s="14" t="n">
        <f aca="false">V9*Inputs!$C$37</f>
        <v>3.31410625</v>
      </c>
      <c r="Y9" s="14" t="n">
        <f aca="false">W9*Inputs!$C$37</f>
        <v>2.81929375</v>
      </c>
      <c r="Z9" s="14" t="n">
        <f aca="false">R9*Inputs!$C$38</f>
        <v>2.25</v>
      </c>
      <c r="AA9" s="14" t="n">
        <f aca="false">S9*Inputs!$C$38</f>
        <v>2.25</v>
      </c>
      <c r="AB9" s="13" t="n">
        <f aca="false">ROUND(R9*5+Z9*2+X9*3,0)</f>
        <v>29</v>
      </c>
      <c r="AC9" s="13" t="n">
        <f aca="false">ROUND(S9*5+AA9*2+Y9*3,0)</f>
        <v>28</v>
      </c>
      <c r="AD9" s="13" t="n">
        <f aca="true">IF(RAND()&lt;Inputs!$C$41,1,0)+IF(RAND()&lt;Inputs!$C$41,1,0)</f>
        <v>0</v>
      </c>
      <c r="AE9" s="13" t="n">
        <f aca="true">IF(RAND()&lt;Inputs!$C$42,1,0)+IF(RAND()&lt;Inputs!$C$42,1,0)</f>
        <v>0</v>
      </c>
      <c r="AF9" s="13" t="n">
        <f aca="false">AB9+AC9</f>
        <v>57</v>
      </c>
      <c r="AG9" s="13" t="n">
        <f aca="false">ABS(AB9-AC9)</f>
        <v>1</v>
      </c>
      <c r="AH9" s="13" t="n">
        <f aca="false">R9+S9</f>
        <v>6</v>
      </c>
      <c r="AI9" s="14" t="n">
        <f aca="false">V9+W9</f>
        <v>9.436</v>
      </c>
      <c r="AJ9" s="14" t="n">
        <f aca="false">X9+Y9</f>
        <v>6.1334</v>
      </c>
      <c r="AK9" s="13" t="n">
        <f aca="false">IF(AB9=AC9,1,0)</f>
        <v>0</v>
      </c>
    </row>
    <row r="10" customFormat="false" ht="15" hidden="false" customHeight="false" outlineLevel="0" collapsed="false">
      <c r="A10" s="12" t="n">
        <v>7</v>
      </c>
      <c r="B10" s="13" t="n">
        <f aca="true">ROUND(MAX(30,MIN(95,Inputs!$C$11+(RAND()+RAND()+RAND()-1.5)*Inputs!$C$12*2)),0)</f>
        <v>75</v>
      </c>
      <c r="C10" s="13" t="n">
        <f aca="true">ROUND(MAX(30,MIN(95,Inputs!$C$11+(RAND()+RAND()+RAND()-1.5)*Inputs!$C$12*2)),0)</f>
        <v>76</v>
      </c>
      <c r="D10" s="13" t="n">
        <f aca="true">ROUND(MAX(30,MIN(95,Inputs!$C$13+(RAND()+RAND()+RAND()-1.5)*Inputs!$C$14*2)),0)</f>
        <v>65</v>
      </c>
      <c r="E10" s="13" t="n">
        <f aca="true">ROUND(MAX(30,MIN(95,Inputs!$C$13+(RAND()+RAND()+RAND()-1.5)*Inputs!$C$14*2)),0)</f>
        <v>56</v>
      </c>
      <c r="F10" s="13" t="n">
        <f aca="false">RANDBETWEEN(Inputs!$C$5,Inputs!$C$6)</f>
        <v>89</v>
      </c>
      <c r="G10" s="13" t="n">
        <f aca="false">ROUND(F10*Inputs!$C$7*Inputs!$C$8,0)</f>
        <v>7</v>
      </c>
      <c r="H10" s="13" t="n">
        <f aca="false">ROUND(F10*Inputs!$C$7*(1-Inputs!$C$8),0)</f>
        <v>16</v>
      </c>
      <c r="I10" s="13" t="n">
        <f aca="false">F10-G10-H10</f>
        <v>66</v>
      </c>
      <c r="J10" s="14" t="n">
        <f aca="false">(G10/2)*MAX(0,MIN(1,Inputs!$C$19+(B10-C10)*Inputs!$C$20))</f>
        <v>0.3395</v>
      </c>
      <c r="K10" s="14" t="n">
        <f aca="false">(G10/2)*MAX(0,MIN(1,Inputs!$C$19+(C10-B10)*Inputs!$C$20))</f>
        <v>0.3605</v>
      </c>
      <c r="L10" s="14" t="n">
        <f aca="false">(H10/2)*MAX(0,1-MIN(1,Inputs!$C$23+(C10-B10)*Inputs!$C$24))*0.5</f>
        <v>0.468</v>
      </c>
      <c r="M10" s="14" t="n">
        <f aca="false">(H10/2)*MAX(0,1-MIN(1,Inputs!$C$23+(B10-C10)*Inputs!$C$24))*0.5</f>
        <v>0.492</v>
      </c>
      <c r="N10" s="13" t="n">
        <f aca="false">ROUND(F10*(0.5+(B10-C10)*0.005),0)</f>
        <v>44</v>
      </c>
      <c r="O10" s="13" t="n">
        <f aca="false">F10-N10</f>
        <v>45</v>
      </c>
      <c r="P10" s="14" t="n">
        <f aca="false">N10*MAX(0,MIN(1,Inputs!$C$32+(D10-E10)*Inputs!$C$33))</f>
        <v>12.188</v>
      </c>
      <c r="Q10" s="14" t="n">
        <f aca="false">O10*MAX(0,MIN(1,Inputs!$C$32+(E10-D10)*Inputs!$C$33))</f>
        <v>10.035</v>
      </c>
      <c r="R10" s="13" t="n">
        <f aca="false">ROUND(P10*Inputs!$C$31,0)</f>
        <v>4</v>
      </c>
      <c r="S10" s="13" t="n">
        <f aca="false">ROUND(Q10*Inputs!$C$31,0)</f>
        <v>3</v>
      </c>
      <c r="T10" s="14" t="n">
        <f aca="false">J10+L10+I10*Inputs!$C$28*0.5</f>
        <v>6.7475</v>
      </c>
      <c r="U10" s="14" t="n">
        <f aca="false">K10+M10+I10*Inputs!$C$28*0.5</f>
        <v>6.7925</v>
      </c>
      <c r="V10" s="14" t="n">
        <f aca="false">T10*Inputs!$C$36</f>
        <v>4.72325</v>
      </c>
      <c r="W10" s="14" t="n">
        <f aca="false">U10*Inputs!$C$36</f>
        <v>4.75475</v>
      </c>
      <c r="X10" s="14" t="n">
        <f aca="false">V10*Inputs!$C$37</f>
        <v>3.0701125</v>
      </c>
      <c r="Y10" s="14" t="n">
        <f aca="false">W10*Inputs!$C$37</f>
        <v>3.0905875</v>
      </c>
      <c r="Z10" s="14" t="n">
        <f aca="false">R10*Inputs!$C$38</f>
        <v>3</v>
      </c>
      <c r="AA10" s="14" t="n">
        <f aca="false">S10*Inputs!$C$38</f>
        <v>2.25</v>
      </c>
      <c r="AB10" s="13" t="n">
        <f aca="false">ROUND(R10*5+Z10*2+X10*3,0)</f>
        <v>35</v>
      </c>
      <c r="AC10" s="13" t="n">
        <f aca="false">ROUND(S10*5+AA10*2+Y10*3,0)</f>
        <v>29</v>
      </c>
      <c r="AD10" s="13" t="n">
        <f aca="true">IF(RAND()&lt;Inputs!$C$41,1,0)+IF(RAND()&lt;Inputs!$C$41,1,0)</f>
        <v>1</v>
      </c>
      <c r="AE10" s="13" t="n">
        <f aca="true">IF(RAND()&lt;Inputs!$C$42,1,0)+IF(RAND()&lt;Inputs!$C$42,1,0)</f>
        <v>0</v>
      </c>
      <c r="AF10" s="13" t="n">
        <f aca="false">AB10+AC10</f>
        <v>64</v>
      </c>
      <c r="AG10" s="13" t="n">
        <f aca="false">ABS(AB10-AC10)</f>
        <v>6</v>
      </c>
      <c r="AH10" s="13" t="n">
        <f aca="false">R10+S10</f>
        <v>7</v>
      </c>
      <c r="AI10" s="14" t="n">
        <f aca="false">V10+W10</f>
        <v>9.478</v>
      </c>
      <c r="AJ10" s="14" t="n">
        <f aca="false">X10+Y10</f>
        <v>6.1607</v>
      </c>
      <c r="AK10" s="13" t="n">
        <f aca="false">IF(AB10=AC10,1,0)</f>
        <v>0</v>
      </c>
    </row>
    <row r="11" customFormat="false" ht="15" hidden="false" customHeight="false" outlineLevel="0" collapsed="false">
      <c r="A11" s="12" t="n">
        <v>8</v>
      </c>
      <c r="B11" s="13" t="n">
        <f aca="true">ROUND(MAX(30,MIN(95,Inputs!$C$11+(RAND()+RAND()+RAND()-1.5)*Inputs!$C$12*2)),0)</f>
        <v>62</v>
      </c>
      <c r="C11" s="13" t="n">
        <f aca="true">ROUND(MAX(30,MIN(95,Inputs!$C$11+(RAND()+RAND()+RAND()-1.5)*Inputs!$C$12*2)),0)</f>
        <v>67</v>
      </c>
      <c r="D11" s="13" t="n">
        <f aca="true">ROUND(MAX(30,MIN(95,Inputs!$C$13+(RAND()+RAND()+RAND()-1.5)*Inputs!$C$14*2)),0)</f>
        <v>57</v>
      </c>
      <c r="E11" s="13" t="n">
        <f aca="true">ROUND(MAX(30,MIN(95,Inputs!$C$13+(RAND()+RAND()+RAND()-1.5)*Inputs!$C$14*2)),0)</f>
        <v>68</v>
      </c>
      <c r="F11" s="13" t="n">
        <f aca="false">RANDBETWEEN(Inputs!$C$5,Inputs!$C$6)</f>
        <v>72</v>
      </c>
      <c r="G11" s="13" t="n">
        <f aca="false">ROUND(F11*Inputs!$C$7*Inputs!$C$8,0)</f>
        <v>5</v>
      </c>
      <c r="H11" s="13" t="n">
        <f aca="false">ROUND(F11*Inputs!$C$7*(1-Inputs!$C$8),0)</f>
        <v>13</v>
      </c>
      <c r="I11" s="13" t="n">
        <f aca="false">F11-G11-H11</f>
        <v>54</v>
      </c>
      <c r="J11" s="14" t="n">
        <f aca="false">(G11/2)*MAX(0,MIN(1,Inputs!$C$19+(B11-C11)*Inputs!$C$20))</f>
        <v>0.2125</v>
      </c>
      <c r="K11" s="14" t="n">
        <f aca="false">(G11/2)*MAX(0,MIN(1,Inputs!$C$19+(C11-B11)*Inputs!$C$20))</f>
        <v>0.2875</v>
      </c>
      <c r="L11" s="14" t="n">
        <f aca="false">(H11/2)*MAX(0,1-MIN(1,Inputs!$C$23+(C11-B11)*Inputs!$C$24))*0.5</f>
        <v>0.34125</v>
      </c>
      <c r="M11" s="14" t="n">
        <f aca="false">(H11/2)*MAX(0,1-MIN(1,Inputs!$C$23+(B11-C11)*Inputs!$C$24))*0.5</f>
        <v>0.43875</v>
      </c>
      <c r="N11" s="13" t="n">
        <f aca="false">ROUND(F11*(0.5+(B11-C11)*0.005),0)</f>
        <v>34</v>
      </c>
      <c r="O11" s="13" t="n">
        <f aca="false">F11-N11</f>
        <v>38</v>
      </c>
      <c r="P11" s="14" t="n">
        <f aca="false">N11*MAX(0,MIN(1,Inputs!$C$32+(D11-E11)*Inputs!$C$33))</f>
        <v>7.378</v>
      </c>
      <c r="Q11" s="14" t="n">
        <f aca="false">O11*MAX(0,MIN(1,Inputs!$C$32+(E11-D11)*Inputs!$C$33))</f>
        <v>10.754</v>
      </c>
      <c r="R11" s="13" t="n">
        <f aca="false">ROUND(P11*Inputs!$C$31,0)</f>
        <v>2</v>
      </c>
      <c r="S11" s="13" t="n">
        <f aca="false">ROUND(Q11*Inputs!$C$31,0)</f>
        <v>3</v>
      </c>
      <c r="T11" s="14" t="n">
        <f aca="false">J11+L11+I11*Inputs!$C$28*0.5</f>
        <v>5.41375</v>
      </c>
      <c r="U11" s="14" t="n">
        <f aca="false">K11+M11+I11*Inputs!$C$28*0.5</f>
        <v>5.58625</v>
      </c>
      <c r="V11" s="14" t="n">
        <f aca="false">T11*Inputs!$C$36</f>
        <v>3.789625</v>
      </c>
      <c r="W11" s="14" t="n">
        <f aca="false">U11*Inputs!$C$36</f>
        <v>3.910375</v>
      </c>
      <c r="X11" s="14" t="n">
        <f aca="false">V11*Inputs!$C$37</f>
        <v>2.46325625</v>
      </c>
      <c r="Y11" s="14" t="n">
        <f aca="false">W11*Inputs!$C$37</f>
        <v>2.54174375</v>
      </c>
      <c r="Z11" s="14" t="n">
        <f aca="false">R11*Inputs!$C$38</f>
        <v>1.5</v>
      </c>
      <c r="AA11" s="14" t="n">
        <f aca="false">S11*Inputs!$C$38</f>
        <v>2.25</v>
      </c>
      <c r="AB11" s="13" t="n">
        <f aca="false">ROUND(R11*5+Z11*2+X11*3,0)</f>
        <v>20</v>
      </c>
      <c r="AC11" s="13" t="n">
        <f aca="false">ROUND(S11*5+AA11*2+Y11*3,0)</f>
        <v>27</v>
      </c>
      <c r="AD11" s="13" t="n">
        <f aca="true">IF(RAND()&lt;Inputs!$C$41,1,0)+IF(RAND()&lt;Inputs!$C$41,1,0)</f>
        <v>2</v>
      </c>
      <c r="AE11" s="13" t="n">
        <f aca="true">IF(RAND()&lt;Inputs!$C$42,1,0)+IF(RAND()&lt;Inputs!$C$42,1,0)</f>
        <v>0</v>
      </c>
      <c r="AF11" s="13" t="n">
        <f aca="false">AB11+AC11</f>
        <v>47</v>
      </c>
      <c r="AG11" s="13" t="n">
        <f aca="false">ABS(AB11-AC11)</f>
        <v>7</v>
      </c>
      <c r="AH11" s="13" t="n">
        <f aca="false">R11+S11</f>
        <v>5</v>
      </c>
      <c r="AI11" s="14" t="n">
        <f aca="false">V11+W11</f>
        <v>7.7</v>
      </c>
      <c r="AJ11" s="14" t="n">
        <f aca="false">X11+Y11</f>
        <v>5.005</v>
      </c>
      <c r="AK11" s="13" t="n">
        <f aca="false">IF(AB11=AC11,1,0)</f>
        <v>0</v>
      </c>
    </row>
    <row r="12" customFormat="false" ht="15" hidden="false" customHeight="false" outlineLevel="0" collapsed="false">
      <c r="A12" s="12" t="n">
        <v>9</v>
      </c>
      <c r="B12" s="13" t="n">
        <f aca="true">ROUND(MAX(30,MIN(95,Inputs!$C$11+(RAND()+RAND()+RAND()-1.5)*Inputs!$C$12*2)),0)</f>
        <v>72</v>
      </c>
      <c r="C12" s="13" t="n">
        <f aca="true">ROUND(MAX(30,MIN(95,Inputs!$C$11+(RAND()+RAND()+RAND()-1.5)*Inputs!$C$12*2)),0)</f>
        <v>86</v>
      </c>
      <c r="D12" s="13" t="n">
        <f aca="true">ROUND(MAX(30,MIN(95,Inputs!$C$13+(RAND()+RAND()+RAND()-1.5)*Inputs!$C$14*2)),0)</f>
        <v>69</v>
      </c>
      <c r="E12" s="13" t="n">
        <f aca="true">ROUND(MAX(30,MIN(95,Inputs!$C$13+(RAND()+RAND()+RAND()-1.5)*Inputs!$C$14*2)),0)</f>
        <v>70</v>
      </c>
      <c r="F12" s="13" t="n">
        <f aca="false">RANDBETWEEN(Inputs!$C$5,Inputs!$C$6)</f>
        <v>80</v>
      </c>
      <c r="G12" s="13" t="n">
        <f aca="false">ROUND(F12*Inputs!$C$7*Inputs!$C$8,0)</f>
        <v>6</v>
      </c>
      <c r="H12" s="13" t="n">
        <f aca="false">ROUND(F12*Inputs!$C$7*(1-Inputs!$C$8),0)</f>
        <v>14</v>
      </c>
      <c r="I12" s="13" t="n">
        <f aca="false">F12-G12-H12</f>
        <v>60</v>
      </c>
      <c r="J12" s="14" t="n">
        <f aca="false">(G12/2)*MAX(0,MIN(1,Inputs!$C$19+(B12-C12)*Inputs!$C$20))</f>
        <v>0.174</v>
      </c>
      <c r="K12" s="14" t="n">
        <f aca="false">(G12/2)*MAX(0,MIN(1,Inputs!$C$19+(C12-B12)*Inputs!$C$20))</f>
        <v>0.426</v>
      </c>
      <c r="L12" s="14" t="n">
        <f aca="false">(H12/2)*MAX(0,1-MIN(1,Inputs!$C$23+(C12-B12)*Inputs!$C$24))*0.5</f>
        <v>0.273</v>
      </c>
      <c r="M12" s="14" t="n">
        <f aca="false">(H12/2)*MAX(0,1-MIN(1,Inputs!$C$23+(B12-C12)*Inputs!$C$24))*0.5</f>
        <v>0.567</v>
      </c>
      <c r="N12" s="13" t="n">
        <f aca="false">ROUND(F12*(0.5+(B12-C12)*0.005),0)</f>
        <v>34</v>
      </c>
      <c r="O12" s="13" t="n">
        <f aca="false">F12-N12</f>
        <v>46</v>
      </c>
      <c r="P12" s="14" t="n">
        <f aca="false">N12*MAX(0,MIN(1,Inputs!$C$32+(D12-E12)*Inputs!$C$33))</f>
        <v>8.398</v>
      </c>
      <c r="Q12" s="14" t="n">
        <f aca="false">O12*MAX(0,MIN(1,Inputs!$C$32+(E12-D12)*Inputs!$C$33))</f>
        <v>11.638</v>
      </c>
      <c r="R12" s="13" t="n">
        <f aca="false">ROUND(P12*Inputs!$C$31,0)</f>
        <v>3</v>
      </c>
      <c r="S12" s="13" t="n">
        <f aca="false">ROUND(Q12*Inputs!$C$31,0)</f>
        <v>3</v>
      </c>
      <c r="T12" s="14" t="n">
        <f aca="false">J12+L12+I12*Inputs!$C$28*0.5</f>
        <v>5.847</v>
      </c>
      <c r="U12" s="14" t="n">
        <f aca="false">K12+M12+I12*Inputs!$C$28*0.5</f>
        <v>6.393</v>
      </c>
      <c r="V12" s="14" t="n">
        <f aca="false">T12*Inputs!$C$36</f>
        <v>4.0929</v>
      </c>
      <c r="W12" s="14" t="n">
        <f aca="false">U12*Inputs!$C$36</f>
        <v>4.4751</v>
      </c>
      <c r="X12" s="14" t="n">
        <f aca="false">V12*Inputs!$C$37</f>
        <v>2.660385</v>
      </c>
      <c r="Y12" s="14" t="n">
        <f aca="false">W12*Inputs!$C$37</f>
        <v>2.908815</v>
      </c>
      <c r="Z12" s="14" t="n">
        <f aca="false">R12*Inputs!$C$38</f>
        <v>2.25</v>
      </c>
      <c r="AA12" s="14" t="n">
        <f aca="false">S12*Inputs!$C$38</f>
        <v>2.25</v>
      </c>
      <c r="AB12" s="13" t="n">
        <f aca="false">ROUND(R12*5+Z12*2+X12*3,0)</f>
        <v>27</v>
      </c>
      <c r="AC12" s="13" t="n">
        <f aca="false">ROUND(S12*5+AA12*2+Y12*3,0)</f>
        <v>28</v>
      </c>
      <c r="AD12" s="13" t="n">
        <f aca="true">IF(RAND()&lt;Inputs!$C$41,1,0)+IF(RAND()&lt;Inputs!$C$41,1,0)</f>
        <v>1</v>
      </c>
      <c r="AE12" s="13" t="n">
        <f aca="true">IF(RAND()&lt;Inputs!$C$42,1,0)+IF(RAND()&lt;Inputs!$C$42,1,0)</f>
        <v>0</v>
      </c>
      <c r="AF12" s="13" t="n">
        <f aca="false">AB12+AC12</f>
        <v>55</v>
      </c>
      <c r="AG12" s="13" t="n">
        <f aca="false">ABS(AB12-AC12)</f>
        <v>1</v>
      </c>
      <c r="AH12" s="13" t="n">
        <f aca="false">R12+S12</f>
        <v>6</v>
      </c>
      <c r="AI12" s="14" t="n">
        <f aca="false">V12+W12</f>
        <v>8.568</v>
      </c>
      <c r="AJ12" s="14" t="n">
        <f aca="false">X12+Y12</f>
        <v>5.5692</v>
      </c>
      <c r="AK12" s="13" t="n">
        <f aca="false">IF(AB12=AC12,1,0)</f>
        <v>0</v>
      </c>
    </row>
    <row r="13" customFormat="false" ht="15" hidden="false" customHeight="false" outlineLevel="0" collapsed="false">
      <c r="A13" s="12" t="n">
        <v>10</v>
      </c>
      <c r="B13" s="13" t="n">
        <f aca="true">ROUND(MAX(30,MIN(95,Inputs!$C$11+(RAND()+RAND()+RAND()-1.5)*Inputs!$C$12*2)),0)</f>
        <v>76</v>
      </c>
      <c r="C13" s="13" t="n">
        <f aca="true">ROUND(MAX(30,MIN(95,Inputs!$C$11+(RAND()+RAND()+RAND()-1.5)*Inputs!$C$12*2)),0)</f>
        <v>58</v>
      </c>
      <c r="D13" s="13" t="n">
        <f aca="true">ROUND(MAX(30,MIN(95,Inputs!$C$13+(RAND()+RAND()+RAND()-1.5)*Inputs!$C$14*2)),0)</f>
        <v>59</v>
      </c>
      <c r="E13" s="13" t="n">
        <f aca="true">ROUND(MAX(30,MIN(95,Inputs!$C$13+(RAND()+RAND()+RAND()-1.5)*Inputs!$C$14*2)),0)</f>
        <v>58</v>
      </c>
      <c r="F13" s="13" t="n">
        <f aca="false">RANDBETWEEN(Inputs!$C$5,Inputs!$C$6)</f>
        <v>86</v>
      </c>
      <c r="G13" s="13" t="n">
        <f aca="false">ROUND(F13*Inputs!$C$7*Inputs!$C$8,0)</f>
        <v>6</v>
      </c>
      <c r="H13" s="13" t="n">
        <f aca="false">ROUND(F13*Inputs!$C$7*(1-Inputs!$C$8),0)</f>
        <v>15</v>
      </c>
      <c r="I13" s="13" t="n">
        <f aca="false">F13-G13-H13</f>
        <v>65</v>
      </c>
      <c r="J13" s="14" t="n">
        <f aca="false">(G13/2)*MAX(0,MIN(1,Inputs!$C$19+(B13-C13)*Inputs!$C$20))</f>
        <v>0.462</v>
      </c>
      <c r="K13" s="14" t="n">
        <f aca="false">(G13/2)*MAX(0,MIN(1,Inputs!$C$19+(C13-B13)*Inputs!$C$20))</f>
        <v>0.138</v>
      </c>
      <c r="L13" s="14" t="n">
        <f aca="false">(H13/2)*MAX(0,1-MIN(1,Inputs!$C$23+(C13-B13)*Inputs!$C$24))*0.5</f>
        <v>0.6525</v>
      </c>
      <c r="M13" s="14" t="n">
        <f aca="false">(H13/2)*MAX(0,1-MIN(1,Inputs!$C$23+(B13-C13)*Inputs!$C$24))*0.5</f>
        <v>0.2475</v>
      </c>
      <c r="N13" s="13" t="n">
        <f aca="false">ROUND(F13*(0.5+(B13-C13)*0.005),0)</f>
        <v>51</v>
      </c>
      <c r="O13" s="13" t="n">
        <f aca="false">F13-N13</f>
        <v>35</v>
      </c>
      <c r="P13" s="14" t="n">
        <f aca="false">N13*MAX(0,MIN(1,Inputs!$C$32+(D13-E13)*Inputs!$C$33))</f>
        <v>12.903</v>
      </c>
      <c r="Q13" s="14" t="n">
        <f aca="false">O13*MAX(0,MIN(1,Inputs!$C$32+(E13-D13)*Inputs!$C$33))</f>
        <v>8.645</v>
      </c>
      <c r="R13" s="13" t="n">
        <f aca="false">ROUND(P13*Inputs!$C$31,0)</f>
        <v>4</v>
      </c>
      <c r="S13" s="13" t="n">
        <f aca="false">ROUND(Q13*Inputs!$C$31,0)</f>
        <v>3</v>
      </c>
      <c r="T13" s="14" t="n">
        <f aca="false">J13+L13+I13*Inputs!$C$28*0.5</f>
        <v>6.9645</v>
      </c>
      <c r="U13" s="14" t="n">
        <f aca="false">K13+M13+I13*Inputs!$C$28*0.5</f>
        <v>6.2355</v>
      </c>
      <c r="V13" s="14" t="n">
        <f aca="false">T13*Inputs!$C$36</f>
        <v>4.87515</v>
      </c>
      <c r="W13" s="14" t="n">
        <f aca="false">U13*Inputs!$C$36</f>
        <v>4.36485</v>
      </c>
      <c r="X13" s="14" t="n">
        <f aca="false">V13*Inputs!$C$37</f>
        <v>3.1688475</v>
      </c>
      <c r="Y13" s="14" t="n">
        <f aca="false">W13*Inputs!$C$37</f>
        <v>2.8371525</v>
      </c>
      <c r="Z13" s="14" t="n">
        <f aca="false">R13*Inputs!$C$38</f>
        <v>3</v>
      </c>
      <c r="AA13" s="14" t="n">
        <f aca="false">S13*Inputs!$C$38</f>
        <v>2.25</v>
      </c>
      <c r="AB13" s="13" t="n">
        <f aca="false">ROUND(R13*5+Z13*2+X13*3,0)</f>
        <v>36</v>
      </c>
      <c r="AC13" s="13" t="n">
        <f aca="false">ROUND(S13*5+AA13*2+Y13*3,0)</f>
        <v>28</v>
      </c>
      <c r="AD13" s="13" t="n">
        <f aca="true">IF(RAND()&lt;Inputs!$C$41,1,0)+IF(RAND()&lt;Inputs!$C$41,1,0)</f>
        <v>0</v>
      </c>
      <c r="AE13" s="13" t="n">
        <f aca="true">IF(RAND()&lt;Inputs!$C$42,1,0)+IF(RAND()&lt;Inputs!$C$42,1,0)</f>
        <v>0</v>
      </c>
      <c r="AF13" s="13" t="n">
        <f aca="false">AB13+AC13</f>
        <v>64</v>
      </c>
      <c r="AG13" s="13" t="n">
        <f aca="false">ABS(AB13-AC13)</f>
        <v>8</v>
      </c>
      <c r="AH13" s="13" t="n">
        <f aca="false">R13+S13</f>
        <v>7</v>
      </c>
      <c r="AI13" s="14" t="n">
        <f aca="false">V13+W13</f>
        <v>9.24</v>
      </c>
      <c r="AJ13" s="14" t="n">
        <f aca="false">X13+Y13</f>
        <v>6.006</v>
      </c>
      <c r="AK13" s="13" t="n">
        <f aca="false">IF(AB13=AC13,1,0)</f>
        <v>0</v>
      </c>
    </row>
    <row r="14" customFormat="false" ht="15" hidden="false" customHeight="false" outlineLevel="0" collapsed="false">
      <c r="A14" s="12" t="n">
        <v>11</v>
      </c>
      <c r="B14" s="13" t="n">
        <f aca="true">ROUND(MAX(30,MIN(95,Inputs!$C$11+(RAND()+RAND()+RAND()-1.5)*Inputs!$C$12*2)),0)</f>
        <v>50</v>
      </c>
      <c r="C14" s="13" t="n">
        <f aca="true">ROUND(MAX(30,MIN(95,Inputs!$C$11+(RAND()+RAND()+RAND()-1.5)*Inputs!$C$12*2)),0)</f>
        <v>66</v>
      </c>
      <c r="D14" s="13" t="n">
        <f aca="true">ROUND(MAX(30,MIN(95,Inputs!$C$13+(RAND()+RAND()+RAND()-1.5)*Inputs!$C$14*2)),0)</f>
        <v>62</v>
      </c>
      <c r="E14" s="13" t="n">
        <f aca="true">ROUND(MAX(30,MIN(95,Inputs!$C$13+(RAND()+RAND()+RAND()-1.5)*Inputs!$C$14*2)),0)</f>
        <v>47</v>
      </c>
      <c r="F14" s="13" t="n">
        <f aca="false">RANDBETWEEN(Inputs!$C$5,Inputs!$C$6)</f>
        <v>89</v>
      </c>
      <c r="G14" s="13" t="n">
        <f aca="false">ROUND(F14*Inputs!$C$7*Inputs!$C$8,0)</f>
        <v>7</v>
      </c>
      <c r="H14" s="13" t="n">
        <f aca="false">ROUND(F14*Inputs!$C$7*(1-Inputs!$C$8),0)</f>
        <v>16</v>
      </c>
      <c r="I14" s="13" t="n">
        <f aca="false">F14-G14-H14</f>
        <v>66</v>
      </c>
      <c r="J14" s="14" t="n">
        <f aca="false">(G14/2)*MAX(0,MIN(1,Inputs!$C$19+(B14-C14)*Inputs!$C$20))</f>
        <v>0.182</v>
      </c>
      <c r="K14" s="14" t="n">
        <f aca="false">(G14/2)*MAX(0,MIN(1,Inputs!$C$19+(C14-B14)*Inputs!$C$20))</f>
        <v>0.518</v>
      </c>
      <c r="L14" s="14" t="n">
        <f aca="false">(H14/2)*MAX(0,1-MIN(1,Inputs!$C$23+(C14-B14)*Inputs!$C$24))*0.5</f>
        <v>0.288</v>
      </c>
      <c r="M14" s="14" t="n">
        <f aca="false">(H14/2)*MAX(0,1-MIN(1,Inputs!$C$23+(B14-C14)*Inputs!$C$24))*0.5</f>
        <v>0.672</v>
      </c>
      <c r="N14" s="13" t="n">
        <f aca="false">ROUND(F14*(0.5+(B14-C14)*0.005),0)</f>
        <v>37</v>
      </c>
      <c r="O14" s="13" t="n">
        <f aca="false">F14-N14</f>
        <v>52</v>
      </c>
      <c r="P14" s="14" t="n">
        <f aca="false">N14*MAX(0,MIN(1,Inputs!$C$32+(D14-E14)*Inputs!$C$33))</f>
        <v>10.915</v>
      </c>
      <c r="Q14" s="14" t="n">
        <f aca="false">O14*MAX(0,MIN(1,Inputs!$C$32+(E14-D14)*Inputs!$C$33))</f>
        <v>10.66</v>
      </c>
      <c r="R14" s="13" t="n">
        <f aca="false">ROUND(P14*Inputs!$C$31,0)</f>
        <v>3</v>
      </c>
      <c r="S14" s="13" t="n">
        <f aca="false">ROUND(Q14*Inputs!$C$31,0)</f>
        <v>3</v>
      </c>
      <c r="T14" s="14" t="n">
        <f aca="false">J14+L14+I14*Inputs!$C$28*0.5</f>
        <v>6.41</v>
      </c>
      <c r="U14" s="14" t="n">
        <f aca="false">K14+M14+I14*Inputs!$C$28*0.5</f>
        <v>7.13</v>
      </c>
      <c r="V14" s="14" t="n">
        <f aca="false">T14*Inputs!$C$36</f>
        <v>4.487</v>
      </c>
      <c r="W14" s="14" t="n">
        <f aca="false">U14*Inputs!$C$36</f>
        <v>4.991</v>
      </c>
      <c r="X14" s="14" t="n">
        <f aca="false">V14*Inputs!$C$37</f>
        <v>2.91655</v>
      </c>
      <c r="Y14" s="14" t="n">
        <f aca="false">W14*Inputs!$C$37</f>
        <v>3.24415</v>
      </c>
      <c r="Z14" s="14" t="n">
        <f aca="false">R14*Inputs!$C$38</f>
        <v>2.25</v>
      </c>
      <c r="AA14" s="14" t="n">
        <f aca="false">S14*Inputs!$C$38</f>
        <v>2.25</v>
      </c>
      <c r="AB14" s="13" t="n">
        <f aca="false">ROUND(R14*5+Z14*2+X14*3,0)</f>
        <v>28</v>
      </c>
      <c r="AC14" s="13" t="n">
        <f aca="false">ROUND(S14*5+AA14*2+Y14*3,0)</f>
        <v>29</v>
      </c>
      <c r="AD14" s="13" t="n">
        <f aca="true">IF(RAND()&lt;Inputs!$C$41,1,0)+IF(RAND()&lt;Inputs!$C$41,1,0)</f>
        <v>1</v>
      </c>
      <c r="AE14" s="13" t="n">
        <f aca="true">IF(RAND()&lt;Inputs!$C$42,1,0)+IF(RAND()&lt;Inputs!$C$42,1,0)</f>
        <v>0</v>
      </c>
      <c r="AF14" s="13" t="n">
        <f aca="false">AB14+AC14</f>
        <v>57</v>
      </c>
      <c r="AG14" s="13" t="n">
        <f aca="false">ABS(AB14-AC14)</f>
        <v>1</v>
      </c>
      <c r="AH14" s="13" t="n">
        <f aca="false">R14+S14</f>
        <v>6</v>
      </c>
      <c r="AI14" s="14" t="n">
        <f aca="false">V14+W14</f>
        <v>9.478</v>
      </c>
      <c r="AJ14" s="14" t="n">
        <f aca="false">X14+Y14</f>
        <v>6.1607</v>
      </c>
      <c r="AK14" s="13" t="n">
        <f aca="false">IF(AB14=AC14,1,0)</f>
        <v>0</v>
      </c>
    </row>
    <row r="15" customFormat="false" ht="15" hidden="false" customHeight="false" outlineLevel="0" collapsed="false">
      <c r="A15" s="12" t="n">
        <v>12</v>
      </c>
      <c r="B15" s="13" t="n">
        <f aca="true">ROUND(MAX(30,MIN(95,Inputs!$C$11+(RAND()+RAND()+RAND()-1.5)*Inputs!$C$12*2)),0)</f>
        <v>73</v>
      </c>
      <c r="C15" s="13" t="n">
        <f aca="true">ROUND(MAX(30,MIN(95,Inputs!$C$11+(RAND()+RAND()+RAND()-1.5)*Inputs!$C$12*2)),0)</f>
        <v>59</v>
      </c>
      <c r="D15" s="13" t="n">
        <f aca="true">ROUND(MAX(30,MIN(95,Inputs!$C$13+(RAND()+RAND()+RAND()-1.5)*Inputs!$C$14*2)),0)</f>
        <v>45</v>
      </c>
      <c r="E15" s="13" t="n">
        <f aca="true">ROUND(MAX(30,MIN(95,Inputs!$C$13+(RAND()+RAND()+RAND()-1.5)*Inputs!$C$14*2)),0)</f>
        <v>57</v>
      </c>
      <c r="F15" s="13" t="n">
        <f aca="false">RANDBETWEEN(Inputs!$C$5,Inputs!$C$6)</f>
        <v>78</v>
      </c>
      <c r="G15" s="13" t="n">
        <f aca="false">ROUND(F15*Inputs!$C$7*Inputs!$C$8,0)</f>
        <v>6</v>
      </c>
      <c r="H15" s="13" t="n">
        <f aca="false">ROUND(F15*Inputs!$C$7*(1-Inputs!$C$8),0)</f>
        <v>14</v>
      </c>
      <c r="I15" s="13" t="n">
        <f aca="false">F15-G15-H15</f>
        <v>58</v>
      </c>
      <c r="J15" s="14" t="n">
        <f aca="false">(G15/2)*MAX(0,MIN(1,Inputs!$C$19+(B15-C15)*Inputs!$C$20))</f>
        <v>0.426</v>
      </c>
      <c r="K15" s="14" t="n">
        <f aca="false">(G15/2)*MAX(0,MIN(1,Inputs!$C$19+(C15-B15)*Inputs!$C$20))</f>
        <v>0.174</v>
      </c>
      <c r="L15" s="14" t="n">
        <f aca="false">(H15/2)*MAX(0,1-MIN(1,Inputs!$C$23+(C15-B15)*Inputs!$C$24))*0.5</f>
        <v>0.567</v>
      </c>
      <c r="M15" s="14" t="n">
        <f aca="false">(H15/2)*MAX(0,1-MIN(1,Inputs!$C$23+(B15-C15)*Inputs!$C$24))*0.5</f>
        <v>0.273</v>
      </c>
      <c r="N15" s="13" t="n">
        <f aca="false">ROUND(F15*(0.5+(B15-C15)*0.005),0)</f>
        <v>44</v>
      </c>
      <c r="O15" s="13" t="n">
        <f aca="false">F15-N15</f>
        <v>34</v>
      </c>
      <c r="P15" s="14" t="n">
        <f aca="false">N15*MAX(0,MIN(1,Inputs!$C$32+(D15-E15)*Inputs!$C$33))</f>
        <v>9.416</v>
      </c>
      <c r="Q15" s="14" t="n">
        <f aca="false">O15*MAX(0,MIN(1,Inputs!$C$32+(E15-D15)*Inputs!$C$33))</f>
        <v>9.724</v>
      </c>
      <c r="R15" s="13" t="n">
        <f aca="false">ROUND(P15*Inputs!$C$31,0)</f>
        <v>3</v>
      </c>
      <c r="S15" s="13" t="n">
        <f aca="false">ROUND(Q15*Inputs!$C$31,0)</f>
        <v>3</v>
      </c>
      <c r="T15" s="14" t="n">
        <f aca="false">J15+L15+I15*Inputs!$C$28*0.5</f>
        <v>6.213</v>
      </c>
      <c r="U15" s="14" t="n">
        <f aca="false">K15+M15+I15*Inputs!$C$28*0.5</f>
        <v>5.667</v>
      </c>
      <c r="V15" s="14" t="n">
        <f aca="false">T15*Inputs!$C$36</f>
        <v>4.3491</v>
      </c>
      <c r="W15" s="14" t="n">
        <f aca="false">U15*Inputs!$C$36</f>
        <v>3.9669</v>
      </c>
      <c r="X15" s="14" t="n">
        <f aca="false">V15*Inputs!$C$37</f>
        <v>2.826915</v>
      </c>
      <c r="Y15" s="14" t="n">
        <f aca="false">W15*Inputs!$C$37</f>
        <v>2.578485</v>
      </c>
      <c r="Z15" s="14" t="n">
        <f aca="false">R15*Inputs!$C$38</f>
        <v>2.25</v>
      </c>
      <c r="AA15" s="14" t="n">
        <f aca="false">S15*Inputs!$C$38</f>
        <v>2.25</v>
      </c>
      <c r="AB15" s="13" t="n">
        <f aca="false">ROUND(R15*5+Z15*2+X15*3,0)</f>
        <v>28</v>
      </c>
      <c r="AC15" s="13" t="n">
        <f aca="false">ROUND(S15*5+AA15*2+Y15*3,0)</f>
        <v>27</v>
      </c>
      <c r="AD15" s="13" t="n">
        <f aca="true">IF(RAND()&lt;Inputs!$C$41,1,0)+IF(RAND()&lt;Inputs!$C$41,1,0)</f>
        <v>0</v>
      </c>
      <c r="AE15" s="13" t="n">
        <f aca="true">IF(RAND()&lt;Inputs!$C$42,1,0)+IF(RAND()&lt;Inputs!$C$42,1,0)</f>
        <v>0</v>
      </c>
      <c r="AF15" s="13" t="n">
        <f aca="false">AB15+AC15</f>
        <v>55</v>
      </c>
      <c r="AG15" s="13" t="n">
        <f aca="false">ABS(AB15-AC15)</f>
        <v>1</v>
      </c>
      <c r="AH15" s="13" t="n">
        <f aca="false">R15+S15</f>
        <v>6</v>
      </c>
      <c r="AI15" s="14" t="n">
        <f aca="false">V15+W15</f>
        <v>8.316</v>
      </c>
      <c r="AJ15" s="14" t="n">
        <f aca="false">X15+Y15</f>
        <v>5.4054</v>
      </c>
      <c r="AK15" s="13" t="n">
        <f aca="false">IF(AB15=AC15,1,0)</f>
        <v>0</v>
      </c>
    </row>
    <row r="16" customFormat="false" ht="15" hidden="false" customHeight="false" outlineLevel="0" collapsed="false">
      <c r="A16" s="12" t="n">
        <v>13</v>
      </c>
      <c r="B16" s="13" t="n">
        <f aca="true">ROUND(MAX(30,MIN(95,Inputs!$C$11+(RAND()+RAND()+RAND()-1.5)*Inputs!$C$12*2)),0)</f>
        <v>57</v>
      </c>
      <c r="C16" s="13" t="n">
        <f aca="true">ROUND(MAX(30,MIN(95,Inputs!$C$11+(RAND()+RAND()+RAND()-1.5)*Inputs!$C$12*2)),0)</f>
        <v>85</v>
      </c>
      <c r="D16" s="13" t="n">
        <f aca="true">ROUND(MAX(30,MIN(95,Inputs!$C$13+(RAND()+RAND()+RAND()-1.5)*Inputs!$C$14*2)),0)</f>
        <v>73</v>
      </c>
      <c r="E16" s="13" t="n">
        <f aca="true">ROUND(MAX(30,MIN(95,Inputs!$C$13+(RAND()+RAND()+RAND()-1.5)*Inputs!$C$14*2)),0)</f>
        <v>59</v>
      </c>
      <c r="F16" s="13" t="n">
        <f aca="false">RANDBETWEEN(Inputs!$C$5,Inputs!$C$6)</f>
        <v>84</v>
      </c>
      <c r="G16" s="13" t="n">
        <f aca="false">ROUND(F16*Inputs!$C$7*Inputs!$C$8,0)</f>
        <v>6</v>
      </c>
      <c r="H16" s="13" t="n">
        <f aca="false">ROUND(F16*Inputs!$C$7*(1-Inputs!$C$8),0)</f>
        <v>15</v>
      </c>
      <c r="I16" s="13" t="n">
        <f aca="false">F16-G16-H16</f>
        <v>63</v>
      </c>
      <c r="J16" s="14" t="n">
        <f aca="false">(G16/2)*MAX(0,MIN(1,Inputs!$C$19+(B16-C16)*Inputs!$C$20))</f>
        <v>0.048</v>
      </c>
      <c r="K16" s="14" t="n">
        <f aca="false">(G16/2)*MAX(0,MIN(1,Inputs!$C$19+(C16-B16)*Inputs!$C$20))</f>
        <v>0.552</v>
      </c>
      <c r="L16" s="14" t="n">
        <f aca="false">(H16/2)*MAX(0,1-MIN(1,Inputs!$C$23+(C16-B16)*Inputs!$C$24))*0.5</f>
        <v>0.135</v>
      </c>
      <c r="M16" s="14" t="n">
        <f aca="false">(H16/2)*MAX(0,1-MIN(1,Inputs!$C$23+(B16-C16)*Inputs!$C$24))*0.5</f>
        <v>0.765</v>
      </c>
      <c r="N16" s="13" t="n">
        <f aca="false">ROUND(F16*(0.5+(B16-C16)*0.005),0)</f>
        <v>30</v>
      </c>
      <c r="O16" s="13" t="n">
        <f aca="false">F16-N16</f>
        <v>54</v>
      </c>
      <c r="P16" s="14" t="n">
        <f aca="false">N16*MAX(0,MIN(1,Inputs!$C$32+(D16-E16)*Inputs!$C$33))</f>
        <v>8.76</v>
      </c>
      <c r="Q16" s="14" t="n">
        <f aca="false">O16*MAX(0,MIN(1,Inputs!$C$32+(E16-D16)*Inputs!$C$33))</f>
        <v>11.232</v>
      </c>
      <c r="R16" s="13" t="n">
        <f aca="false">ROUND(P16*Inputs!$C$31,0)</f>
        <v>3</v>
      </c>
      <c r="S16" s="13" t="n">
        <f aca="false">ROUND(Q16*Inputs!$C$31,0)</f>
        <v>3</v>
      </c>
      <c r="T16" s="14" t="n">
        <f aca="false">J16+L16+I16*Inputs!$C$28*0.5</f>
        <v>5.853</v>
      </c>
      <c r="U16" s="14" t="n">
        <f aca="false">K16+M16+I16*Inputs!$C$28*0.5</f>
        <v>6.987</v>
      </c>
      <c r="V16" s="14" t="n">
        <f aca="false">T16*Inputs!$C$36</f>
        <v>4.0971</v>
      </c>
      <c r="W16" s="14" t="n">
        <f aca="false">U16*Inputs!$C$36</f>
        <v>4.8909</v>
      </c>
      <c r="X16" s="14" t="n">
        <f aca="false">V16*Inputs!$C$37</f>
        <v>2.663115</v>
      </c>
      <c r="Y16" s="14" t="n">
        <f aca="false">W16*Inputs!$C$37</f>
        <v>3.179085</v>
      </c>
      <c r="Z16" s="14" t="n">
        <f aca="false">R16*Inputs!$C$38</f>
        <v>2.25</v>
      </c>
      <c r="AA16" s="14" t="n">
        <f aca="false">S16*Inputs!$C$38</f>
        <v>2.25</v>
      </c>
      <c r="AB16" s="13" t="n">
        <f aca="false">ROUND(R16*5+Z16*2+X16*3,0)</f>
        <v>27</v>
      </c>
      <c r="AC16" s="13" t="n">
        <f aca="false">ROUND(S16*5+AA16*2+Y16*3,0)</f>
        <v>29</v>
      </c>
      <c r="AD16" s="13" t="n">
        <f aca="true">IF(RAND()&lt;Inputs!$C$41,1,0)+IF(RAND()&lt;Inputs!$C$41,1,0)</f>
        <v>1</v>
      </c>
      <c r="AE16" s="13" t="n">
        <f aca="true">IF(RAND()&lt;Inputs!$C$42,1,0)+IF(RAND()&lt;Inputs!$C$42,1,0)</f>
        <v>0</v>
      </c>
      <c r="AF16" s="13" t="n">
        <f aca="false">AB16+AC16</f>
        <v>56</v>
      </c>
      <c r="AG16" s="13" t="n">
        <f aca="false">ABS(AB16-AC16)</f>
        <v>2</v>
      </c>
      <c r="AH16" s="13" t="n">
        <f aca="false">R16+S16</f>
        <v>6</v>
      </c>
      <c r="AI16" s="14" t="n">
        <f aca="false">V16+W16</f>
        <v>8.988</v>
      </c>
      <c r="AJ16" s="14" t="n">
        <f aca="false">X16+Y16</f>
        <v>5.8422</v>
      </c>
      <c r="AK16" s="13" t="n">
        <f aca="false">IF(AB16=AC16,1,0)</f>
        <v>0</v>
      </c>
    </row>
    <row r="17" customFormat="false" ht="15" hidden="false" customHeight="false" outlineLevel="0" collapsed="false">
      <c r="A17" s="12" t="n">
        <v>14</v>
      </c>
      <c r="B17" s="13" t="n">
        <f aca="true">ROUND(MAX(30,MIN(95,Inputs!$C$11+(RAND()+RAND()+RAND()-1.5)*Inputs!$C$12*2)),0)</f>
        <v>86</v>
      </c>
      <c r="C17" s="13" t="n">
        <f aca="true">ROUND(MAX(30,MIN(95,Inputs!$C$11+(RAND()+RAND()+RAND()-1.5)*Inputs!$C$12*2)),0)</f>
        <v>35</v>
      </c>
      <c r="D17" s="13" t="n">
        <f aca="true">ROUND(MAX(30,MIN(95,Inputs!$C$13+(RAND()+RAND()+RAND()-1.5)*Inputs!$C$14*2)),0)</f>
        <v>53</v>
      </c>
      <c r="E17" s="13" t="n">
        <f aca="true">ROUND(MAX(30,MIN(95,Inputs!$C$13+(RAND()+RAND()+RAND()-1.5)*Inputs!$C$14*2)),0)</f>
        <v>78</v>
      </c>
      <c r="F17" s="13" t="n">
        <f aca="false">RANDBETWEEN(Inputs!$C$5,Inputs!$C$6)</f>
        <v>77</v>
      </c>
      <c r="G17" s="13" t="n">
        <f aca="false">ROUND(F17*Inputs!$C$7*Inputs!$C$8,0)</f>
        <v>6</v>
      </c>
      <c r="H17" s="13" t="n">
        <f aca="false">ROUND(F17*Inputs!$C$7*(1-Inputs!$C$8),0)</f>
        <v>13</v>
      </c>
      <c r="I17" s="13" t="n">
        <f aca="false">F17-G17-H17</f>
        <v>58</v>
      </c>
      <c r="J17" s="14" t="n">
        <f aca="false">(G17/2)*MAX(0,MIN(1,Inputs!$C$19+(B17-C17)*Inputs!$C$20))</f>
        <v>0.759</v>
      </c>
      <c r="K17" s="14" t="n">
        <f aca="false">(G17/2)*MAX(0,MIN(1,Inputs!$C$19+(C17-B17)*Inputs!$C$20))</f>
        <v>0</v>
      </c>
      <c r="L17" s="14" t="n">
        <f aca="false">(H17/2)*MAX(0,1-MIN(1,Inputs!$C$23+(C17-B17)*Inputs!$C$24))*0.5</f>
        <v>0.88725</v>
      </c>
      <c r="M17" s="14" t="n">
        <f aca="false">(H17/2)*MAX(0,1-MIN(1,Inputs!$C$23+(B17-C17)*Inputs!$C$24))*0.5</f>
        <v>0</v>
      </c>
      <c r="N17" s="13" t="n">
        <f aca="false">ROUND(F17*(0.5+(B17-C17)*0.005),0)</f>
        <v>58</v>
      </c>
      <c r="O17" s="13" t="n">
        <f aca="false">F17-N17</f>
        <v>19</v>
      </c>
      <c r="P17" s="14" t="n">
        <f aca="false">N17*MAX(0,MIN(1,Inputs!$C$32+(D17-E17)*Inputs!$C$33))</f>
        <v>10.15</v>
      </c>
      <c r="Q17" s="14" t="n">
        <f aca="false">O17*MAX(0,MIN(1,Inputs!$C$32+(E17-D17)*Inputs!$C$33))</f>
        <v>6.175</v>
      </c>
      <c r="R17" s="13" t="n">
        <f aca="false">ROUND(P17*Inputs!$C$31,0)</f>
        <v>3</v>
      </c>
      <c r="S17" s="13" t="n">
        <f aca="false">ROUND(Q17*Inputs!$C$31,0)</f>
        <v>2</v>
      </c>
      <c r="T17" s="14" t="n">
        <f aca="false">J17+L17+I17*Inputs!$C$28*0.5</f>
        <v>6.86625</v>
      </c>
      <c r="U17" s="14" t="n">
        <f aca="false">K17+M17+I17*Inputs!$C$28*0.5</f>
        <v>5.22</v>
      </c>
      <c r="V17" s="14" t="n">
        <f aca="false">T17*Inputs!$C$36</f>
        <v>4.806375</v>
      </c>
      <c r="W17" s="14" t="n">
        <f aca="false">U17*Inputs!$C$36</f>
        <v>3.654</v>
      </c>
      <c r="X17" s="14" t="n">
        <f aca="false">V17*Inputs!$C$37</f>
        <v>3.12414375</v>
      </c>
      <c r="Y17" s="14" t="n">
        <f aca="false">W17*Inputs!$C$37</f>
        <v>2.3751</v>
      </c>
      <c r="Z17" s="14" t="n">
        <f aca="false">R17*Inputs!$C$38</f>
        <v>2.25</v>
      </c>
      <c r="AA17" s="14" t="n">
        <f aca="false">S17*Inputs!$C$38</f>
        <v>1.5</v>
      </c>
      <c r="AB17" s="13" t="n">
        <f aca="false">ROUND(R17*5+Z17*2+X17*3,0)</f>
        <v>29</v>
      </c>
      <c r="AC17" s="13" t="n">
        <f aca="false">ROUND(S17*5+AA17*2+Y17*3,0)</f>
        <v>20</v>
      </c>
      <c r="AD17" s="13" t="n">
        <f aca="true">IF(RAND()&lt;Inputs!$C$41,1,0)+IF(RAND()&lt;Inputs!$C$41,1,0)</f>
        <v>0</v>
      </c>
      <c r="AE17" s="13" t="n">
        <f aca="true">IF(RAND()&lt;Inputs!$C$42,1,0)+IF(RAND()&lt;Inputs!$C$42,1,0)</f>
        <v>0</v>
      </c>
      <c r="AF17" s="13" t="n">
        <f aca="false">AB17+AC17</f>
        <v>49</v>
      </c>
      <c r="AG17" s="13" t="n">
        <f aca="false">ABS(AB17-AC17)</f>
        <v>9</v>
      </c>
      <c r="AH17" s="13" t="n">
        <f aca="false">R17+S17</f>
        <v>5</v>
      </c>
      <c r="AI17" s="14" t="n">
        <f aca="false">V17+W17</f>
        <v>8.460375</v>
      </c>
      <c r="AJ17" s="14" t="n">
        <f aca="false">X17+Y17</f>
        <v>5.49924375</v>
      </c>
      <c r="AK17" s="13" t="n">
        <f aca="false">IF(AB17=AC17,1,0)</f>
        <v>0</v>
      </c>
    </row>
    <row r="18" customFormat="false" ht="15" hidden="false" customHeight="false" outlineLevel="0" collapsed="false">
      <c r="A18" s="12" t="n">
        <v>15</v>
      </c>
      <c r="B18" s="13" t="n">
        <f aca="true">ROUND(MAX(30,MIN(95,Inputs!$C$11+(RAND()+RAND()+RAND()-1.5)*Inputs!$C$12*2)),0)</f>
        <v>62</v>
      </c>
      <c r="C18" s="13" t="n">
        <f aca="true">ROUND(MAX(30,MIN(95,Inputs!$C$11+(RAND()+RAND()+RAND()-1.5)*Inputs!$C$12*2)),0)</f>
        <v>75</v>
      </c>
      <c r="D18" s="13" t="n">
        <f aca="true">ROUND(MAX(30,MIN(95,Inputs!$C$13+(RAND()+RAND()+RAND()-1.5)*Inputs!$C$14*2)),0)</f>
        <v>47</v>
      </c>
      <c r="E18" s="13" t="n">
        <f aca="true">ROUND(MAX(30,MIN(95,Inputs!$C$13+(RAND()+RAND()+RAND()-1.5)*Inputs!$C$14*2)),0)</f>
        <v>78</v>
      </c>
      <c r="F18" s="13" t="n">
        <f aca="false">RANDBETWEEN(Inputs!$C$5,Inputs!$C$6)</f>
        <v>80</v>
      </c>
      <c r="G18" s="13" t="n">
        <f aca="false">ROUND(F18*Inputs!$C$7*Inputs!$C$8,0)</f>
        <v>6</v>
      </c>
      <c r="H18" s="13" t="n">
        <f aca="false">ROUND(F18*Inputs!$C$7*(1-Inputs!$C$8),0)</f>
        <v>14</v>
      </c>
      <c r="I18" s="13" t="n">
        <f aca="false">F18-G18-H18</f>
        <v>60</v>
      </c>
      <c r="J18" s="14" t="n">
        <f aca="false">(G18/2)*MAX(0,MIN(1,Inputs!$C$19+(B18-C18)*Inputs!$C$20))</f>
        <v>0.183</v>
      </c>
      <c r="K18" s="14" t="n">
        <f aca="false">(G18/2)*MAX(0,MIN(1,Inputs!$C$19+(C18-B18)*Inputs!$C$20))</f>
        <v>0.417</v>
      </c>
      <c r="L18" s="14" t="n">
        <f aca="false">(H18/2)*MAX(0,1-MIN(1,Inputs!$C$23+(C18-B18)*Inputs!$C$24))*0.5</f>
        <v>0.2835</v>
      </c>
      <c r="M18" s="14" t="n">
        <f aca="false">(H18/2)*MAX(0,1-MIN(1,Inputs!$C$23+(B18-C18)*Inputs!$C$24))*0.5</f>
        <v>0.5565</v>
      </c>
      <c r="N18" s="13" t="n">
        <f aca="false">ROUND(F18*(0.5+(B18-C18)*0.005),0)</f>
        <v>35</v>
      </c>
      <c r="O18" s="13" t="n">
        <f aca="false">F18-N18</f>
        <v>45</v>
      </c>
      <c r="P18" s="14" t="n">
        <f aca="false">N18*MAX(0,MIN(1,Inputs!$C$32+(D18-E18)*Inputs!$C$33))</f>
        <v>5.495</v>
      </c>
      <c r="Q18" s="14" t="n">
        <f aca="false">O18*MAX(0,MIN(1,Inputs!$C$32+(E18-D18)*Inputs!$C$33))</f>
        <v>15.435</v>
      </c>
      <c r="R18" s="13" t="n">
        <f aca="false">ROUND(P18*Inputs!$C$31,0)</f>
        <v>2</v>
      </c>
      <c r="S18" s="13" t="n">
        <f aca="false">ROUND(Q18*Inputs!$C$31,0)</f>
        <v>5</v>
      </c>
      <c r="T18" s="14" t="n">
        <f aca="false">J18+L18+I18*Inputs!$C$28*0.5</f>
        <v>5.8665</v>
      </c>
      <c r="U18" s="14" t="n">
        <f aca="false">K18+M18+I18*Inputs!$C$28*0.5</f>
        <v>6.3735</v>
      </c>
      <c r="V18" s="14" t="n">
        <f aca="false">T18*Inputs!$C$36</f>
        <v>4.10655</v>
      </c>
      <c r="W18" s="14" t="n">
        <f aca="false">U18*Inputs!$C$36</f>
        <v>4.46145</v>
      </c>
      <c r="X18" s="14" t="n">
        <f aca="false">V18*Inputs!$C$37</f>
        <v>2.6692575</v>
      </c>
      <c r="Y18" s="14" t="n">
        <f aca="false">W18*Inputs!$C$37</f>
        <v>2.8999425</v>
      </c>
      <c r="Z18" s="14" t="n">
        <f aca="false">R18*Inputs!$C$38</f>
        <v>1.5</v>
      </c>
      <c r="AA18" s="14" t="n">
        <f aca="false">S18*Inputs!$C$38</f>
        <v>3.75</v>
      </c>
      <c r="AB18" s="13" t="n">
        <f aca="false">ROUND(R18*5+Z18*2+X18*3,0)</f>
        <v>21</v>
      </c>
      <c r="AC18" s="13" t="n">
        <f aca="false">ROUND(S18*5+AA18*2+Y18*3,0)</f>
        <v>41</v>
      </c>
      <c r="AD18" s="13" t="n">
        <f aca="true">IF(RAND()&lt;Inputs!$C$41,1,0)+IF(RAND()&lt;Inputs!$C$41,1,0)</f>
        <v>0</v>
      </c>
      <c r="AE18" s="13" t="n">
        <f aca="true">IF(RAND()&lt;Inputs!$C$42,1,0)+IF(RAND()&lt;Inputs!$C$42,1,0)</f>
        <v>0</v>
      </c>
      <c r="AF18" s="13" t="n">
        <f aca="false">AB18+AC18</f>
        <v>62</v>
      </c>
      <c r="AG18" s="13" t="n">
        <f aca="false">ABS(AB18-AC18)</f>
        <v>20</v>
      </c>
      <c r="AH18" s="13" t="n">
        <f aca="false">R18+S18</f>
        <v>7</v>
      </c>
      <c r="AI18" s="14" t="n">
        <f aca="false">V18+W18</f>
        <v>8.568</v>
      </c>
      <c r="AJ18" s="14" t="n">
        <f aca="false">X18+Y18</f>
        <v>5.5692</v>
      </c>
      <c r="AK18" s="13" t="n">
        <f aca="false">IF(AB18=AC18,1,0)</f>
        <v>0</v>
      </c>
    </row>
    <row r="19" customFormat="false" ht="15" hidden="false" customHeight="false" outlineLevel="0" collapsed="false">
      <c r="A19" s="12" t="n">
        <v>16</v>
      </c>
      <c r="B19" s="13" t="n">
        <f aca="true">ROUND(MAX(30,MIN(95,Inputs!$C$11+(RAND()+RAND()+RAND()-1.5)*Inputs!$C$12*2)),0)</f>
        <v>72</v>
      </c>
      <c r="C19" s="13" t="n">
        <f aca="true">ROUND(MAX(30,MIN(95,Inputs!$C$11+(RAND()+RAND()+RAND()-1.5)*Inputs!$C$12*2)),0)</f>
        <v>70</v>
      </c>
      <c r="D19" s="13" t="n">
        <f aca="true">ROUND(MAX(30,MIN(95,Inputs!$C$13+(RAND()+RAND()+RAND()-1.5)*Inputs!$C$14*2)),0)</f>
        <v>85</v>
      </c>
      <c r="E19" s="13" t="n">
        <f aca="true">ROUND(MAX(30,MIN(95,Inputs!$C$13+(RAND()+RAND()+RAND()-1.5)*Inputs!$C$14*2)),0)</f>
        <v>78</v>
      </c>
      <c r="F19" s="13" t="n">
        <f aca="false">RANDBETWEEN(Inputs!$C$5,Inputs!$C$6)</f>
        <v>65</v>
      </c>
      <c r="G19" s="13" t="n">
        <f aca="false">ROUND(F19*Inputs!$C$7*Inputs!$C$8,0)</f>
        <v>5</v>
      </c>
      <c r="H19" s="13" t="n">
        <f aca="false">ROUND(F19*Inputs!$C$7*(1-Inputs!$C$8),0)</f>
        <v>11</v>
      </c>
      <c r="I19" s="13" t="n">
        <f aca="false">F19-G19-H19</f>
        <v>49</v>
      </c>
      <c r="J19" s="14" t="n">
        <f aca="false">(G19/2)*MAX(0,MIN(1,Inputs!$C$19+(B19-C19)*Inputs!$C$20))</f>
        <v>0.265</v>
      </c>
      <c r="K19" s="14" t="n">
        <f aca="false">(G19/2)*MAX(0,MIN(1,Inputs!$C$19+(C19-B19)*Inputs!$C$20))</f>
        <v>0.235</v>
      </c>
      <c r="L19" s="14" t="n">
        <f aca="false">(H19/2)*MAX(0,1-MIN(1,Inputs!$C$23+(C19-B19)*Inputs!$C$24))*0.5</f>
        <v>0.3465</v>
      </c>
      <c r="M19" s="14" t="n">
        <f aca="false">(H19/2)*MAX(0,1-MIN(1,Inputs!$C$23+(B19-C19)*Inputs!$C$24))*0.5</f>
        <v>0.3135</v>
      </c>
      <c r="N19" s="13" t="n">
        <f aca="false">ROUND(F19*(0.5+(B19-C19)*0.005),0)</f>
        <v>33</v>
      </c>
      <c r="O19" s="13" t="n">
        <f aca="false">F19-N19</f>
        <v>32</v>
      </c>
      <c r="P19" s="14" t="n">
        <f aca="false">N19*MAX(0,MIN(1,Inputs!$C$32+(D19-E19)*Inputs!$C$33))</f>
        <v>8.943</v>
      </c>
      <c r="Q19" s="14" t="n">
        <f aca="false">O19*MAX(0,MIN(1,Inputs!$C$32+(E19-D19)*Inputs!$C$33))</f>
        <v>7.328</v>
      </c>
      <c r="R19" s="13" t="n">
        <f aca="false">ROUND(P19*Inputs!$C$31,0)</f>
        <v>3</v>
      </c>
      <c r="S19" s="13" t="n">
        <f aca="false">ROUND(Q19*Inputs!$C$31,0)</f>
        <v>2</v>
      </c>
      <c r="T19" s="14" t="n">
        <f aca="false">J19+L19+I19*Inputs!$C$28*0.5</f>
        <v>5.0215</v>
      </c>
      <c r="U19" s="14" t="n">
        <f aca="false">K19+M19+I19*Inputs!$C$28*0.5</f>
        <v>4.9585</v>
      </c>
      <c r="V19" s="14" t="n">
        <f aca="false">T19*Inputs!$C$36</f>
        <v>3.51505</v>
      </c>
      <c r="W19" s="14" t="n">
        <f aca="false">U19*Inputs!$C$36</f>
        <v>3.47095</v>
      </c>
      <c r="X19" s="14" t="n">
        <f aca="false">V19*Inputs!$C$37</f>
        <v>2.2847825</v>
      </c>
      <c r="Y19" s="14" t="n">
        <f aca="false">W19*Inputs!$C$37</f>
        <v>2.2561175</v>
      </c>
      <c r="Z19" s="14" t="n">
        <f aca="false">R19*Inputs!$C$38</f>
        <v>2.25</v>
      </c>
      <c r="AA19" s="14" t="n">
        <f aca="false">S19*Inputs!$C$38</f>
        <v>1.5</v>
      </c>
      <c r="AB19" s="13" t="n">
        <f aca="false">ROUND(R19*5+Z19*2+X19*3,0)</f>
        <v>26</v>
      </c>
      <c r="AC19" s="13" t="n">
        <f aca="false">ROUND(S19*5+AA19*2+Y19*3,0)</f>
        <v>20</v>
      </c>
      <c r="AD19" s="13" t="n">
        <f aca="true">IF(RAND()&lt;Inputs!$C$41,1,0)+IF(RAND()&lt;Inputs!$C$41,1,0)</f>
        <v>0</v>
      </c>
      <c r="AE19" s="13" t="n">
        <f aca="true">IF(RAND()&lt;Inputs!$C$42,1,0)+IF(RAND()&lt;Inputs!$C$42,1,0)</f>
        <v>1</v>
      </c>
      <c r="AF19" s="13" t="n">
        <f aca="false">AB19+AC19</f>
        <v>46</v>
      </c>
      <c r="AG19" s="13" t="n">
        <f aca="false">ABS(AB19-AC19)</f>
        <v>6</v>
      </c>
      <c r="AH19" s="13" t="n">
        <f aca="false">R19+S19</f>
        <v>5</v>
      </c>
      <c r="AI19" s="14" t="n">
        <f aca="false">V19+W19</f>
        <v>6.986</v>
      </c>
      <c r="AJ19" s="14" t="n">
        <f aca="false">X19+Y19</f>
        <v>4.5409</v>
      </c>
      <c r="AK19" s="13" t="n">
        <f aca="false">IF(AB19=AC19,1,0)</f>
        <v>0</v>
      </c>
    </row>
    <row r="20" customFormat="false" ht="15" hidden="false" customHeight="false" outlineLevel="0" collapsed="false">
      <c r="A20" s="12" t="n">
        <v>17</v>
      </c>
      <c r="B20" s="13" t="n">
        <f aca="true">ROUND(MAX(30,MIN(95,Inputs!$C$11+(RAND()+RAND()+RAND()-1.5)*Inputs!$C$12*2)),0)</f>
        <v>57</v>
      </c>
      <c r="C20" s="13" t="n">
        <f aca="true">ROUND(MAX(30,MIN(95,Inputs!$C$11+(RAND()+RAND()+RAND()-1.5)*Inputs!$C$12*2)),0)</f>
        <v>63</v>
      </c>
      <c r="D20" s="13" t="n">
        <f aca="true">ROUND(MAX(30,MIN(95,Inputs!$C$13+(RAND()+RAND()+RAND()-1.5)*Inputs!$C$14*2)),0)</f>
        <v>58</v>
      </c>
      <c r="E20" s="13" t="n">
        <f aca="true">ROUND(MAX(30,MIN(95,Inputs!$C$13+(RAND()+RAND()+RAND()-1.5)*Inputs!$C$14*2)),0)</f>
        <v>78</v>
      </c>
      <c r="F20" s="13" t="n">
        <f aca="false">RANDBETWEEN(Inputs!$C$5,Inputs!$C$6)</f>
        <v>83</v>
      </c>
      <c r="G20" s="13" t="n">
        <f aca="false">ROUND(F20*Inputs!$C$7*Inputs!$C$8,0)</f>
        <v>6</v>
      </c>
      <c r="H20" s="13" t="n">
        <f aca="false">ROUND(F20*Inputs!$C$7*(1-Inputs!$C$8),0)</f>
        <v>15</v>
      </c>
      <c r="I20" s="13" t="n">
        <f aca="false">F20-G20-H20</f>
        <v>62</v>
      </c>
      <c r="J20" s="14" t="n">
        <f aca="false">(G20/2)*MAX(0,MIN(1,Inputs!$C$19+(B20-C20)*Inputs!$C$20))</f>
        <v>0.246</v>
      </c>
      <c r="K20" s="14" t="n">
        <f aca="false">(G20/2)*MAX(0,MIN(1,Inputs!$C$19+(C20-B20)*Inputs!$C$20))</f>
        <v>0.354</v>
      </c>
      <c r="L20" s="14" t="n">
        <f aca="false">(H20/2)*MAX(0,1-MIN(1,Inputs!$C$23+(C20-B20)*Inputs!$C$24))*0.5</f>
        <v>0.3825</v>
      </c>
      <c r="M20" s="14" t="n">
        <f aca="false">(H20/2)*MAX(0,1-MIN(1,Inputs!$C$23+(B20-C20)*Inputs!$C$24))*0.5</f>
        <v>0.5175</v>
      </c>
      <c r="N20" s="13" t="n">
        <f aca="false">ROUND(F20*(0.5+(B20-C20)*0.005),0)</f>
        <v>39</v>
      </c>
      <c r="O20" s="13" t="n">
        <f aca="false">F20-N20</f>
        <v>44</v>
      </c>
      <c r="P20" s="14" t="n">
        <f aca="false">N20*MAX(0,MIN(1,Inputs!$C$32+(D20-E20)*Inputs!$C$33))</f>
        <v>7.41</v>
      </c>
      <c r="Q20" s="14" t="n">
        <f aca="false">O20*MAX(0,MIN(1,Inputs!$C$32+(E20-D20)*Inputs!$C$33))</f>
        <v>13.64</v>
      </c>
      <c r="R20" s="13" t="n">
        <f aca="false">ROUND(P20*Inputs!$C$31,0)</f>
        <v>2</v>
      </c>
      <c r="S20" s="13" t="n">
        <f aca="false">ROUND(Q20*Inputs!$C$31,0)</f>
        <v>4</v>
      </c>
      <c r="T20" s="14" t="n">
        <f aca="false">J20+L20+I20*Inputs!$C$28*0.5</f>
        <v>6.2085</v>
      </c>
      <c r="U20" s="14" t="n">
        <f aca="false">K20+M20+I20*Inputs!$C$28*0.5</f>
        <v>6.4515</v>
      </c>
      <c r="V20" s="14" t="n">
        <f aca="false">T20*Inputs!$C$36</f>
        <v>4.34595</v>
      </c>
      <c r="W20" s="14" t="n">
        <f aca="false">U20*Inputs!$C$36</f>
        <v>4.51605</v>
      </c>
      <c r="X20" s="14" t="n">
        <f aca="false">V20*Inputs!$C$37</f>
        <v>2.8248675</v>
      </c>
      <c r="Y20" s="14" t="n">
        <f aca="false">W20*Inputs!$C$37</f>
        <v>2.9354325</v>
      </c>
      <c r="Z20" s="14" t="n">
        <f aca="false">R20*Inputs!$C$38</f>
        <v>1.5</v>
      </c>
      <c r="AA20" s="14" t="n">
        <f aca="false">S20*Inputs!$C$38</f>
        <v>3</v>
      </c>
      <c r="AB20" s="13" t="n">
        <f aca="false">ROUND(R20*5+Z20*2+X20*3,0)</f>
        <v>21</v>
      </c>
      <c r="AC20" s="13" t="n">
        <f aca="false">ROUND(S20*5+AA20*2+Y20*3,0)</f>
        <v>35</v>
      </c>
      <c r="AD20" s="13" t="n">
        <f aca="true">IF(RAND()&lt;Inputs!$C$41,1,0)+IF(RAND()&lt;Inputs!$C$41,1,0)</f>
        <v>1</v>
      </c>
      <c r="AE20" s="13" t="n">
        <f aca="true">IF(RAND()&lt;Inputs!$C$42,1,0)+IF(RAND()&lt;Inputs!$C$42,1,0)</f>
        <v>1</v>
      </c>
      <c r="AF20" s="13" t="n">
        <f aca="false">AB20+AC20</f>
        <v>56</v>
      </c>
      <c r="AG20" s="13" t="n">
        <f aca="false">ABS(AB20-AC20)</f>
        <v>14</v>
      </c>
      <c r="AH20" s="13" t="n">
        <f aca="false">R20+S20</f>
        <v>6</v>
      </c>
      <c r="AI20" s="14" t="n">
        <f aca="false">V20+W20</f>
        <v>8.862</v>
      </c>
      <c r="AJ20" s="14" t="n">
        <f aca="false">X20+Y20</f>
        <v>5.7603</v>
      </c>
      <c r="AK20" s="13" t="n">
        <f aca="false">IF(AB20=AC20,1,0)</f>
        <v>0</v>
      </c>
    </row>
    <row r="21" customFormat="false" ht="15" hidden="false" customHeight="false" outlineLevel="0" collapsed="false">
      <c r="A21" s="12" t="n">
        <v>18</v>
      </c>
      <c r="B21" s="13" t="n">
        <f aca="true">ROUND(MAX(30,MIN(95,Inputs!$C$11+(RAND()+RAND()+RAND()-1.5)*Inputs!$C$12*2)),0)</f>
        <v>83</v>
      </c>
      <c r="C21" s="13" t="n">
        <f aca="true">ROUND(MAX(30,MIN(95,Inputs!$C$11+(RAND()+RAND()+RAND()-1.5)*Inputs!$C$12*2)),0)</f>
        <v>39</v>
      </c>
      <c r="D21" s="13" t="n">
        <f aca="true">ROUND(MAX(30,MIN(95,Inputs!$C$13+(RAND()+RAND()+RAND()-1.5)*Inputs!$C$14*2)),0)</f>
        <v>72</v>
      </c>
      <c r="E21" s="13" t="n">
        <f aca="true">ROUND(MAX(30,MIN(95,Inputs!$C$13+(RAND()+RAND()+RAND()-1.5)*Inputs!$C$14*2)),0)</f>
        <v>77</v>
      </c>
      <c r="F21" s="13" t="n">
        <f aca="false">RANDBETWEEN(Inputs!$C$5,Inputs!$C$6)</f>
        <v>70</v>
      </c>
      <c r="G21" s="13" t="n">
        <f aca="false">ROUND(F21*Inputs!$C$7*Inputs!$C$8,0)</f>
        <v>5</v>
      </c>
      <c r="H21" s="13" t="n">
        <f aca="false">ROUND(F21*Inputs!$C$7*(1-Inputs!$C$8),0)</f>
        <v>12</v>
      </c>
      <c r="I21" s="13" t="n">
        <f aca="false">F21-G21-H21</f>
        <v>53</v>
      </c>
      <c r="J21" s="14" t="n">
        <f aca="false">(G21/2)*MAX(0,MIN(1,Inputs!$C$19+(B21-C21)*Inputs!$C$20))</f>
        <v>0.58</v>
      </c>
      <c r="K21" s="14" t="n">
        <f aca="false">(G21/2)*MAX(0,MIN(1,Inputs!$C$19+(C21-B21)*Inputs!$C$20))</f>
        <v>0</v>
      </c>
      <c r="L21" s="14" t="n">
        <f aca="false">(H21/2)*MAX(0,1-MIN(1,Inputs!$C$23+(C21-B21)*Inputs!$C$24))*0.5</f>
        <v>0.756</v>
      </c>
      <c r="M21" s="14" t="n">
        <f aca="false">(H21/2)*MAX(0,1-MIN(1,Inputs!$C$23+(B21-C21)*Inputs!$C$24))*0.5</f>
        <v>0</v>
      </c>
      <c r="N21" s="13" t="n">
        <f aca="false">ROUND(F21*(0.5+(B21-C21)*0.005),0)</f>
        <v>50</v>
      </c>
      <c r="O21" s="13" t="n">
        <f aca="false">F21-N21</f>
        <v>20</v>
      </c>
      <c r="P21" s="14" t="n">
        <f aca="false">N21*MAX(0,MIN(1,Inputs!$C$32+(D21-E21)*Inputs!$C$33))</f>
        <v>11.75</v>
      </c>
      <c r="Q21" s="14" t="n">
        <f aca="false">O21*MAX(0,MIN(1,Inputs!$C$32+(E21-D21)*Inputs!$C$33))</f>
        <v>5.3</v>
      </c>
      <c r="R21" s="13" t="n">
        <f aca="false">ROUND(P21*Inputs!$C$31,0)</f>
        <v>4</v>
      </c>
      <c r="S21" s="13" t="n">
        <f aca="false">ROUND(Q21*Inputs!$C$31,0)</f>
        <v>2</v>
      </c>
      <c r="T21" s="14" t="n">
        <f aca="false">J21+L21+I21*Inputs!$C$28*0.5</f>
        <v>6.106</v>
      </c>
      <c r="U21" s="14" t="n">
        <f aca="false">K21+M21+I21*Inputs!$C$28*0.5</f>
        <v>4.77</v>
      </c>
      <c r="V21" s="14" t="n">
        <f aca="false">T21*Inputs!$C$36</f>
        <v>4.2742</v>
      </c>
      <c r="W21" s="14" t="n">
        <f aca="false">U21*Inputs!$C$36</f>
        <v>3.339</v>
      </c>
      <c r="X21" s="14" t="n">
        <f aca="false">V21*Inputs!$C$37</f>
        <v>2.77823</v>
      </c>
      <c r="Y21" s="14" t="n">
        <f aca="false">W21*Inputs!$C$37</f>
        <v>2.17035</v>
      </c>
      <c r="Z21" s="14" t="n">
        <f aca="false">R21*Inputs!$C$38</f>
        <v>3</v>
      </c>
      <c r="AA21" s="14" t="n">
        <f aca="false">S21*Inputs!$C$38</f>
        <v>1.5</v>
      </c>
      <c r="AB21" s="13" t="n">
        <f aca="false">ROUND(R21*5+Z21*2+X21*3,0)</f>
        <v>34</v>
      </c>
      <c r="AC21" s="13" t="n">
        <f aca="false">ROUND(S21*5+AA21*2+Y21*3,0)</f>
        <v>20</v>
      </c>
      <c r="AD21" s="13" t="n">
        <f aca="true">IF(RAND()&lt;Inputs!$C$41,1,0)+IF(RAND()&lt;Inputs!$C$41,1,0)</f>
        <v>1</v>
      </c>
      <c r="AE21" s="13" t="n">
        <f aca="true">IF(RAND()&lt;Inputs!$C$42,1,0)+IF(RAND()&lt;Inputs!$C$42,1,0)</f>
        <v>0</v>
      </c>
      <c r="AF21" s="13" t="n">
        <f aca="false">AB21+AC21</f>
        <v>54</v>
      </c>
      <c r="AG21" s="13" t="n">
        <f aca="false">ABS(AB21-AC21)</f>
        <v>14</v>
      </c>
      <c r="AH21" s="13" t="n">
        <f aca="false">R21+S21</f>
        <v>6</v>
      </c>
      <c r="AI21" s="14" t="n">
        <f aca="false">V21+W21</f>
        <v>7.6132</v>
      </c>
      <c r="AJ21" s="14" t="n">
        <f aca="false">X21+Y21</f>
        <v>4.94858</v>
      </c>
      <c r="AK21" s="13" t="n">
        <f aca="false">IF(AB21=AC21,1,0)</f>
        <v>0</v>
      </c>
    </row>
    <row r="22" customFormat="false" ht="15" hidden="false" customHeight="false" outlineLevel="0" collapsed="false">
      <c r="A22" s="12" t="n">
        <v>19</v>
      </c>
      <c r="B22" s="13" t="n">
        <f aca="true">ROUND(MAX(30,MIN(95,Inputs!$C$11+(RAND()+RAND()+RAND()-1.5)*Inputs!$C$12*2)),0)</f>
        <v>84</v>
      </c>
      <c r="C22" s="13" t="n">
        <f aca="true">ROUND(MAX(30,MIN(95,Inputs!$C$11+(RAND()+RAND()+RAND()-1.5)*Inputs!$C$12*2)),0)</f>
        <v>51</v>
      </c>
      <c r="D22" s="13" t="n">
        <f aca="true">ROUND(MAX(30,MIN(95,Inputs!$C$13+(RAND()+RAND()+RAND()-1.5)*Inputs!$C$14*2)),0)</f>
        <v>78</v>
      </c>
      <c r="E22" s="13" t="n">
        <f aca="true">ROUND(MAX(30,MIN(95,Inputs!$C$13+(RAND()+RAND()+RAND()-1.5)*Inputs!$C$14*2)),0)</f>
        <v>72</v>
      </c>
      <c r="F22" s="13" t="n">
        <f aca="false">RANDBETWEEN(Inputs!$C$5,Inputs!$C$6)</f>
        <v>80</v>
      </c>
      <c r="G22" s="13" t="n">
        <f aca="false">ROUND(F22*Inputs!$C$7*Inputs!$C$8,0)</f>
        <v>6</v>
      </c>
      <c r="H22" s="13" t="n">
        <f aca="false">ROUND(F22*Inputs!$C$7*(1-Inputs!$C$8),0)</f>
        <v>14</v>
      </c>
      <c r="I22" s="13" t="n">
        <f aca="false">F22-G22-H22</f>
        <v>60</v>
      </c>
      <c r="J22" s="14" t="n">
        <f aca="false">(G22/2)*MAX(0,MIN(1,Inputs!$C$19+(B22-C22)*Inputs!$C$20))</f>
        <v>0.597</v>
      </c>
      <c r="K22" s="14" t="n">
        <f aca="false">(G22/2)*MAX(0,MIN(1,Inputs!$C$19+(C22-B22)*Inputs!$C$20))</f>
        <v>0.003</v>
      </c>
      <c r="L22" s="14" t="n">
        <f aca="false">(H22/2)*MAX(0,1-MIN(1,Inputs!$C$23+(C22-B22)*Inputs!$C$24))*0.5</f>
        <v>0.7665</v>
      </c>
      <c r="M22" s="14" t="n">
        <f aca="false">(H22/2)*MAX(0,1-MIN(1,Inputs!$C$23+(B22-C22)*Inputs!$C$24))*0.5</f>
        <v>0.0735000000000001</v>
      </c>
      <c r="N22" s="13" t="n">
        <f aca="false">ROUND(F22*(0.5+(B22-C22)*0.005),0)</f>
        <v>53</v>
      </c>
      <c r="O22" s="13" t="n">
        <f aca="false">F22-N22</f>
        <v>27</v>
      </c>
      <c r="P22" s="14" t="n">
        <f aca="false">N22*MAX(0,MIN(1,Inputs!$C$32+(D22-E22)*Inputs!$C$33))</f>
        <v>14.204</v>
      </c>
      <c r="Q22" s="14" t="n">
        <f aca="false">O22*MAX(0,MIN(1,Inputs!$C$32+(E22-D22)*Inputs!$C$33))</f>
        <v>6.264</v>
      </c>
      <c r="R22" s="13" t="n">
        <f aca="false">ROUND(P22*Inputs!$C$31,0)</f>
        <v>4</v>
      </c>
      <c r="S22" s="13" t="n">
        <f aca="false">ROUND(Q22*Inputs!$C$31,0)</f>
        <v>2</v>
      </c>
      <c r="T22" s="14" t="n">
        <f aca="false">J22+L22+I22*Inputs!$C$28*0.5</f>
        <v>6.7635</v>
      </c>
      <c r="U22" s="14" t="n">
        <f aca="false">K22+M22+I22*Inputs!$C$28*0.5</f>
        <v>5.4765</v>
      </c>
      <c r="V22" s="14" t="n">
        <f aca="false">T22*Inputs!$C$36</f>
        <v>4.73445</v>
      </c>
      <c r="W22" s="14" t="n">
        <f aca="false">U22*Inputs!$C$36</f>
        <v>3.83355</v>
      </c>
      <c r="X22" s="14" t="n">
        <f aca="false">V22*Inputs!$C$37</f>
        <v>3.0773925</v>
      </c>
      <c r="Y22" s="14" t="n">
        <f aca="false">W22*Inputs!$C$37</f>
        <v>2.4918075</v>
      </c>
      <c r="Z22" s="14" t="n">
        <f aca="false">R22*Inputs!$C$38</f>
        <v>3</v>
      </c>
      <c r="AA22" s="14" t="n">
        <f aca="false">S22*Inputs!$C$38</f>
        <v>1.5</v>
      </c>
      <c r="AB22" s="13" t="n">
        <f aca="false">ROUND(R22*5+Z22*2+X22*3,0)</f>
        <v>35</v>
      </c>
      <c r="AC22" s="13" t="n">
        <f aca="false">ROUND(S22*5+AA22*2+Y22*3,0)</f>
        <v>20</v>
      </c>
      <c r="AD22" s="13" t="n">
        <f aca="true">IF(RAND()&lt;Inputs!$C$41,1,0)+IF(RAND()&lt;Inputs!$C$41,1,0)</f>
        <v>0</v>
      </c>
      <c r="AE22" s="13" t="n">
        <f aca="true">IF(RAND()&lt;Inputs!$C$42,1,0)+IF(RAND()&lt;Inputs!$C$42,1,0)</f>
        <v>0</v>
      </c>
      <c r="AF22" s="13" t="n">
        <f aca="false">AB22+AC22</f>
        <v>55</v>
      </c>
      <c r="AG22" s="13" t="n">
        <f aca="false">ABS(AB22-AC22)</f>
        <v>15</v>
      </c>
      <c r="AH22" s="13" t="n">
        <f aca="false">R22+S22</f>
        <v>6</v>
      </c>
      <c r="AI22" s="14" t="n">
        <f aca="false">V22+W22</f>
        <v>8.568</v>
      </c>
      <c r="AJ22" s="14" t="n">
        <f aca="false">X22+Y22</f>
        <v>5.5692</v>
      </c>
      <c r="AK22" s="13" t="n">
        <f aca="false">IF(AB22=AC22,1,0)</f>
        <v>0</v>
      </c>
    </row>
    <row r="23" customFormat="false" ht="15" hidden="false" customHeight="false" outlineLevel="0" collapsed="false">
      <c r="A23" s="12" t="n">
        <v>20</v>
      </c>
      <c r="B23" s="13" t="n">
        <f aca="true">ROUND(MAX(30,MIN(95,Inputs!$C$11+(RAND()+RAND()+RAND()-1.5)*Inputs!$C$12*2)),0)</f>
        <v>76</v>
      </c>
      <c r="C23" s="13" t="n">
        <f aca="true">ROUND(MAX(30,MIN(95,Inputs!$C$11+(RAND()+RAND()+RAND()-1.5)*Inputs!$C$12*2)),0)</f>
        <v>65</v>
      </c>
      <c r="D23" s="13" t="n">
        <f aca="true">ROUND(MAX(30,MIN(95,Inputs!$C$13+(RAND()+RAND()+RAND()-1.5)*Inputs!$C$14*2)),0)</f>
        <v>72</v>
      </c>
      <c r="E23" s="13" t="n">
        <f aca="true">ROUND(MAX(30,MIN(95,Inputs!$C$13+(RAND()+RAND()+RAND()-1.5)*Inputs!$C$14*2)),0)</f>
        <v>60</v>
      </c>
      <c r="F23" s="13" t="n">
        <f aca="false">RANDBETWEEN(Inputs!$C$5,Inputs!$C$6)</f>
        <v>83</v>
      </c>
      <c r="G23" s="13" t="n">
        <f aca="false">ROUND(F23*Inputs!$C$7*Inputs!$C$8,0)</f>
        <v>6</v>
      </c>
      <c r="H23" s="13" t="n">
        <f aca="false">ROUND(F23*Inputs!$C$7*(1-Inputs!$C$8),0)</f>
        <v>15</v>
      </c>
      <c r="I23" s="13" t="n">
        <f aca="false">F23-G23-H23</f>
        <v>62</v>
      </c>
      <c r="J23" s="14" t="n">
        <f aca="false">(G23/2)*MAX(0,MIN(1,Inputs!$C$19+(B23-C23)*Inputs!$C$20))</f>
        <v>0.399</v>
      </c>
      <c r="K23" s="14" t="n">
        <f aca="false">(G23/2)*MAX(0,MIN(1,Inputs!$C$19+(C23-B23)*Inputs!$C$20))</f>
        <v>0.201</v>
      </c>
      <c r="L23" s="14" t="n">
        <f aca="false">(H23/2)*MAX(0,1-MIN(1,Inputs!$C$23+(C23-B23)*Inputs!$C$24))*0.5</f>
        <v>0.57375</v>
      </c>
      <c r="M23" s="14" t="n">
        <f aca="false">(H23/2)*MAX(0,1-MIN(1,Inputs!$C$23+(B23-C23)*Inputs!$C$24))*0.5</f>
        <v>0.32625</v>
      </c>
      <c r="N23" s="13" t="n">
        <f aca="false">ROUND(F23*(0.5+(B23-C23)*0.005),0)</f>
        <v>46</v>
      </c>
      <c r="O23" s="13" t="n">
        <f aca="false">F23-N23</f>
        <v>37</v>
      </c>
      <c r="P23" s="14" t="n">
        <f aca="false">N23*MAX(0,MIN(1,Inputs!$C$32+(D23-E23)*Inputs!$C$33))</f>
        <v>13.156</v>
      </c>
      <c r="Q23" s="14" t="n">
        <f aca="false">O23*MAX(0,MIN(1,Inputs!$C$32+(E23-D23)*Inputs!$C$33))</f>
        <v>7.918</v>
      </c>
      <c r="R23" s="13" t="n">
        <f aca="false">ROUND(P23*Inputs!$C$31,0)</f>
        <v>4</v>
      </c>
      <c r="S23" s="13" t="n">
        <f aca="false">ROUND(Q23*Inputs!$C$31,0)</f>
        <v>2</v>
      </c>
      <c r="T23" s="14" t="n">
        <f aca="false">J23+L23+I23*Inputs!$C$28*0.5</f>
        <v>6.55275</v>
      </c>
      <c r="U23" s="14" t="n">
        <f aca="false">K23+M23+I23*Inputs!$C$28*0.5</f>
        <v>6.10725</v>
      </c>
      <c r="V23" s="14" t="n">
        <f aca="false">T23*Inputs!$C$36</f>
        <v>4.586925</v>
      </c>
      <c r="W23" s="14" t="n">
        <f aca="false">U23*Inputs!$C$36</f>
        <v>4.275075</v>
      </c>
      <c r="X23" s="14" t="n">
        <f aca="false">V23*Inputs!$C$37</f>
        <v>2.98150125</v>
      </c>
      <c r="Y23" s="14" t="n">
        <f aca="false">W23*Inputs!$C$37</f>
        <v>2.77879875</v>
      </c>
      <c r="Z23" s="14" t="n">
        <f aca="false">R23*Inputs!$C$38</f>
        <v>3</v>
      </c>
      <c r="AA23" s="14" t="n">
        <f aca="false">S23*Inputs!$C$38</f>
        <v>1.5</v>
      </c>
      <c r="AB23" s="13" t="n">
        <f aca="false">ROUND(R23*5+Z23*2+X23*3,0)</f>
        <v>35</v>
      </c>
      <c r="AC23" s="13" t="n">
        <f aca="false">ROUND(S23*5+AA23*2+Y23*3,0)</f>
        <v>21</v>
      </c>
      <c r="AD23" s="13" t="n">
        <f aca="true">IF(RAND()&lt;Inputs!$C$41,1,0)+IF(RAND()&lt;Inputs!$C$41,1,0)</f>
        <v>0</v>
      </c>
      <c r="AE23" s="13" t="n">
        <f aca="true">IF(RAND()&lt;Inputs!$C$42,1,0)+IF(RAND()&lt;Inputs!$C$42,1,0)</f>
        <v>0</v>
      </c>
      <c r="AF23" s="13" t="n">
        <f aca="false">AB23+AC23</f>
        <v>56</v>
      </c>
      <c r="AG23" s="13" t="n">
        <f aca="false">ABS(AB23-AC23)</f>
        <v>14</v>
      </c>
      <c r="AH23" s="13" t="n">
        <f aca="false">R23+S23</f>
        <v>6</v>
      </c>
      <c r="AI23" s="14" t="n">
        <f aca="false">V23+W23</f>
        <v>8.862</v>
      </c>
      <c r="AJ23" s="14" t="n">
        <f aca="false">X23+Y23</f>
        <v>5.7603</v>
      </c>
      <c r="AK23" s="13" t="n">
        <f aca="false">IF(AB23=AC23,1,0)</f>
        <v>0</v>
      </c>
    </row>
    <row r="24" customFormat="false" ht="15" hidden="false" customHeight="false" outlineLevel="0" collapsed="false">
      <c r="A24" s="12" t="n">
        <v>21</v>
      </c>
      <c r="B24" s="13" t="n">
        <f aca="true">ROUND(MAX(30,MIN(95,Inputs!$C$11+(RAND()+RAND()+RAND()-1.5)*Inputs!$C$12*2)),0)</f>
        <v>64</v>
      </c>
      <c r="C24" s="13" t="n">
        <f aca="true">ROUND(MAX(30,MIN(95,Inputs!$C$11+(RAND()+RAND()+RAND()-1.5)*Inputs!$C$12*2)),0)</f>
        <v>65</v>
      </c>
      <c r="D24" s="13" t="n">
        <f aca="true">ROUND(MAX(30,MIN(95,Inputs!$C$13+(RAND()+RAND()+RAND()-1.5)*Inputs!$C$14*2)),0)</f>
        <v>68</v>
      </c>
      <c r="E24" s="13" t="n">
        <f aca="true">ROUND(MAX(30,MIN(95,Inputs!$C$13+(RAND()+RAND()+RAND()-1.5)*Inputs!$C$14*2)),0)</f>
        <v>52</v>
      </c>
      <c r="F24" s="13" t="n">
        <f aca="false">RANDBETWEEN(Inputs!$C$5,Inputs!$C$6)</f>
        <v>90</v>
      </c>
      <c r="G24" s="13" t="n">
        <f aca="false">ROUND(F24*Inputs!$C$7*Inputs!$C$8,0)</f>
        <v>7</v>
      </c>
      <c r="H24" s="13" t="n">
        <f aca="false">ROUND(F24*Inputs!$C$7*(1-Inputs!$C$8),0)</f>
        <v>16</v>
      </c>
      <c r="I24" s="13" t="n">
        <f aca="false">F24-G24-H24</f>
        <v>67</v>
      </c>
      <c r="J24" s="14" t="n">
        <f aca="false">(G24/2)*MAX(0,MIN(1,Inputs!$C$19+(B24-C24)*Inputs!$C$20))</f>
        <v>0.3395</v>
      </c>
      <c r="K24" s="14" t="n">
        <f aca="false">(G24/2)*MAX(0,MIN(1,Inputs!$C$19+(C24-B24)*Inputs!$C$20))</f>
        <v>0.3605</v>
      </c>
      <c r="L24" s="14" t="n">
        <f aca="false">(H24/2)*MAX(0,1-MIN(1,Inputs!$C$23+(C24-B24)*Inputs!$C$24))*0.5</f>
        <v>0.468</v>
      </c>
      <c r="M24" s="14" t="n">
        <f aca="false">(H24/2)*MAX(0,1-MIN(1,Inputs!$C$23+(B24-C24)*Inputs!$C$24))*0.5</f>
        <v>0.492</v>
      </c>
      <c r="N24" s="13" t="n">
        <f aca="false">ROUND(F24*(0.5+(B24-C24)*0.005),0)</f>
        <v>45</v>
      </c>
      <c r="O24" s="13" t="n">
        <f aca="false">F24-N24</f>
        <v>45</v>
      </c>
      <c r="P24" s="14" t="n">
        <f aca="false">N24*MAX(0,MIN(1,Inputs!$C$32+(D24-E24)*Inputs!$C$33))</f>
        <v>13.41</v>
      </c>
      <c r="Q24" s="14" t="n">
        <f aca="false">O24*MAX(0,MIN(1,Inputs!$C$32+(E24-D24)*Inputs!$C$33))</f>
        <v>9.09</v>
      </c>
      <c r="R24" s="13" t="n">
        <f aca="false">ROUND(P24*Inputs!$C$31,0)</f>
        <v>4</v>
      </c>
      <c r="S24" s="13" t="n">
        <f aca="false">ROUND(Q24*Inputs!$C$31,0)</f>
        <v>3</v>
      </c>
      <c r="T24" s="14" t="n">
        <f aca="false">J24+L24+I24*Inputs!$C$28*0.5</f>
        <v>6.8375</v>
      </c>
      <c r="U24" s="14" t="n">
        <f aca="false">K24+M24+I24*Inputs!$C$28*0.5</f>
        <v>6.8825</v>
      </c>
      <c r="V24" s="14" t="n">
        <f aca="false">T24*Inputs!$C$36</f>
        <v>4.78625</v>
      </c>
      <c r="W24" s="14" t="n">
        <f aca="false">U24*Inputs!$C$36</f>
        <v>4.81775</v>
      </c>
      <c r="X24" s="14" t="n">
        <f aca="false">V24*Inputs!$C$37</f>
        <v>3.1110625</v>
      </c>
      <c r="Y24" s="14" t="n">
        <f aca="false">W24*Inputs!$C$37</f>
        <v>3.1315375</v>
      </c>
      <c r="Z24" s="14" t="n">
        <f aca="false">R24*Inputs!$C$38</f>
        <v>3</v>
      </c>
      <c r="AA24" s="14" t="n">
        <f aca="false">S24*Inputs!$C$38</f>
        <v>2.25</v>
      </c>
      <c r="AB24" s="13" t="n">
        <f aca="false">ROUND(R24*5+Z24*2+X24*3,0)</f>
        <v>35</v>
      </c>
      <c r="AC24" s="13" t="n">
        <f aca="false">ROUND(S24*5+AA24*2+Y24*3,0)</f>
        <v>29</v>
      </c>
      <c r="AD24" s="13" t="n">
        <f aca="true">IF(RAND()&lt;Inputs!$C$41,1,0)+IF(RAND()&lt;Inputs!$C$41,1,0)</f>
        <v>1</v>
      </c>
      <c r="AE24" s="13" t="n">
        <f aca="true">IF(RAND()&lt;Inputs!$C$42,1,0)+IF(RAND()&lt;Inputs!$C$42,1,0)</f>
        <v>0</v>
      </c>
      <c r="AF24" s="13" t="n">
        <f aca="false">AB24+AC24</f>
        <v>64</v>
      </c>
      <c r="AG24" s="13" t="n">
        <f aca="false">ABS(AB24-AC24)</f>
        <v>6</v>
      </c>
      <c r="AH24" s="13" t="n">
        <f aca="false">R24+S24</f>
        <v>7</v>
      </c>
      <c r="AI24" s="14" t="n">
        <f aca="false">V24+W24</f>
        <v>9.604</v>
      </c>
      <c r="AJ24" s="14" t="n">
        <f aca="false">X24+Y24</f>
        <v>6.2426</v>
      </c>
      <c r="AK24" s="13" t="n">
        <f aca="false">IF(AB24=AC24,1,0)</f>
        <v>0</v>
      </c>
    </row>
    <row r="25" customFormat="false" ht="15" hidden="false" customHeight="false" outlineLevel="0" collapsed="false">
      <c r="A25" s="12" t="n">
        <v>22</v>
      </c>
      <c r="B25" s="13" t="n">
        <f aca="true">ROUND(MAX(30,MIN(95,Inputs!$C$11+(RAND()+RAND()+RAND()-1.5)*Inputs!$C$12*2)),0)</f>
        <v>75</v>
      </c>
      <c r="C25" s="13" t="n">
        <f aca="true">ROUND(MAX(30,MIN(95,Inputs!$C$11+(RAND()+RAND()+RAND()-1.5)*Inputs!$C$12*2)),0)</f>
        <v>46</v>
      </c>
      <c r="D25" s="13" t="n">
        <f aca="true">ROUND(MAX(30,MIN(95,Inputs!$C$13+(RAND()+RAND()+RAND()-1.5)*Inputs!$C$14*2)),0)</f>
        <v>73</v>
      </c>
      <c r="E25" s="13" t="n">
        <f aca="true">ROUND(MAX(30,MIN(95,Inputs!$C$13+(RAND()+RAND()+RAND()-1.5)*Inputs!$C$14*2)),0)</f>
        <v>49</v>
      </c>
      <c r="F25" s="13" t="n">
        <f aca="false">RANDBETWEEN(Inputs!$C$5,Inputs!$C$6)</f>
        <v>70</v>
      </c>
      <c r="G25" s="13" t="n">
        <f aca="false">ROUND(F25*Inputs!$C$7*Inputs!$C$8,0)</f>
        <v>5</v>
      </c>
      <c r="H25" s="13" t="n">
        <f aca="false">ROUND(F25*Inputs!$C$7*(1-Inputs!$C$8),0)</f>
        <v>12</v>
      </c>
      <c r="I25" s="13" t="n">
        <f aca="false">F25-G25-H25</f>
        <v>53</v>
      </c>
      <c r="J25" s="14" t="n">
        <f aca="false">(G25/2)*MAX(0,MIN(1,Inputs!$C$19+(B25-C25)*Inputs!$C$20))</f>
        <v>0.4675</v>
      </c>
      <c r="K25" s="14" t="n">
        <f aca="false">(G25/2)*MAX(0,MIN(1,Inputs!$C$19+(C25-B25)*Inputs!$C$20))</f>
        <v>0.0325</v>
      </c>
      <c r="L25" s="14" t="n">
        <f aca="false">(H25/2)*MAX(0,1-MIN(1,Inputs!$C$23+(C25-B25)*Inputs!$C$24))*0.5</f>
        <v>0.621</v>
      </c>
      <c r="M25" s="14" t="n">
        <f aca="false">(H25/2)*MAX(0,1-MIN(1,Inputs!$C$23+(B25-C25)*Inputs!$C$24))*0.5</f>
        <v>0.0990000000000001</v>
      </c>
      <c r="N25" s="13" t="n">
        <f aca="false">ROUND(F25*(0.5+(B25-C25)*0.005),0)</f>
        <v>45</v>
      </c>
      <c r="O25" s="13" t="n">
        <f aca="false">F25-N25</f>
        <v>25</v>
      </c>
      <c r="P25" s="14" t="n">
        <f aca="false">N25*MAX(0,MIN(1,Inputs!$C$32+(D25-E25)*Inputs!$C$33))</f>
        <v>14.49</v>
      </c>
      <c r="Q25" s="14" t="n">
        <f aca="false">O25*MAX(0,MIN(1,Inputs!$C$32+(E25-D25)*Inputs!$C$33))</f>
        <v>4.45</v>
      </c>
      <c r="R25" s="13" t="n">
        <f aca="false">ROUND(P25*Inputs!$C$31,0)</f>
        <v>4</v>
      </c>
      <c r="S25" s="13" t="n">
        <f aca="false">ROUND(Q25*Inputs!$C$31,0)</f>
        <v>1</v>
      </c>
      <c r="T25" s="14" t="n">
        <f aca="false">J25+L25+I25*Inputs!$C$28*0.5</f>
        <v>5.8585</v>
      </c>
      <c r="U25" s="14" t="n">
        <f aca="false">K25+M25+I25*Inputs!$C$28*0.5</f>
        <v>4.9015</v>
      </c>
      <c r="V25" s="14" t="n">
        <f aca="false">T25*Inputs!$C$36</f>
        <v>4.10095</v>
      </c>
      <c r="W25" s="14" t="n">
        <f aca="false">U25*Inputs!$C$36</f>
        <v>3.43105</v>
      </c>
      <c r="X25" s="14" t="n">
        <f aca="false">V25*Inputs!$C$37</f>
        <v>2.6656175</v>
      </c>
      <c r="Y25" s="14" t="n">
        <f aca="false">W25*Inputs!$C$37</f>
        <v>2.2301825</v>
      </c>
      <c r="Z25" s="14" t="n">
        <f aca="false">R25*Inputs!$C$38</f>
        <v>3</v>
      </c>
      <c r="AA25" s="14" t="n">
        <f aca="false">S25*Inputs!$C$38</f>
        <v>0.75</v>
      </c>
      <c r="AB25" s="13" t="n">
        <f aca="false">ROUND(R25*5+Z25*2+X25*3,0)</f>
        <v>34</v>
      </c>
      <c r="AC25" s="13" t="n">
        <f aca="false">ROUND(S25*5+AA25*2+Y25*3,0)</f>
        <v>13</v>
      </c>
      <c r="AD25" s="13" t="n">
        <f aca="true">IF(RAND()&lt;Inputs!$C$41,1,0)+IF(RAND()&lt;Inputs!$C$41,1,0)</f>
        <v>2</v>
      </c>
      <c r="AE25" s="13" t="n">
        <f aca="true">IF(RAND()&lt;Inputs!$C$42,1,0)+IF(RAND()&lt;Inputs!$C$42,1,0)</f>
        <v>0</v>
      </c>
      <c r="AF25" s="13" t="n">
        <f aca="false">AB25+AC25</f>
        <v>47</v>
      </c>
      <c r="AG25" s="13" t="n">
        <f aca="false">ABS(AB25-AC25)</f>
        <v>21</v>
      </c>
      <c r="AH25" s="13" t="n">
        <f aca="false">R25+S25</f>
        <v>5</v>
      </c>
      <c r="AI25" s="14" t="n">
        <f aca="false">V25+W25</f>
        <v>7.532</v>
      </c>
      <c r="AJ25" s="14" t="n">
        <f aca="false">X25+Y25</f>
        <v>4.8958</v>
      </c>
      <c r="AK25" s="13" t="n">
        <f aca="false">IF(AB25=AC25,1,0)</f>
        <v>0</v>
      </c>
    </row>
    <row r="26" customFormat="false" ht="15" hidden="false" customHeight="false" outlineLevel="0" collapsed="false">
      <c r="A26" s="12" t="n">
        <v>23</v>
      </c>
      <c r="B26" s="13" t="n">
        <f aca="true">ROUND(MAX(30,MIN(95,Inputs!$C$11+(RAND()+RAND()+RAND()-1.5)*Inputs!$C$12*2)),0)</f>
        <v>67</v>
      </c>
      <c r="C26" s="13" t="n">
        <f aca="true">ROUND(MAX(30,MIN(95,Inputs!$C$11+(RAND()+RAND()+RAND()-1.5)*Inputs!$C$12*2)),0)</f>
        <v>62</v>
      </c>
      <c r="D26" s="13" t="n">
        <f aca="true">ROUND(MAX(30,MIN(95,Inputs!$C$13+(RAND()+RAND()+RAND()-1.5)*Inputs!$C$14*2)),0)</f>
        <v>69</v>
      </c>
      <c r="E26" s="13" t="n">
        <f aca="true">ROUND(MAX(30,MIN(95,Inputs!$C$13+(RAND()+RAND()+RAND()-1.5)*Inputs!$C$14*2)),0)</f>
        <v>71</v>
      </c>
      <c r="F26" s="13" t="n">
        <f aca="false">RANDBETWEEN(Inputs!$C$5,Inputs!$C$6)</f>
        <v>67</v>
      </c>
      <c r="G26" s="13" t="n">
        <f aca="false">ROUND(F26*Inputs!$C$7*Inputs!$C$8,0)</f>
        <v>5</v>
      </c>
      <c r="H26" s="13" t="n">
        <f aca="false">ROUND(F26*Inputs!$C$7*(1-Inputs!$C$8),0)</f>
        <v>12</v>
      </c>
      <c r="I26" s="13" t="n">
        <f aca="false">F26-G26-H26</f>
        <v>50</v>
      </c>
      <c r="J26" s="14" t="n">
        <f aca="false">(G26/2)*MAX(0,MIN(1,Inputs!$C$19+(B26-C26)*Inputs!$C$20))</f>
        <v>0.2875</v>
      </c>
      <c r="K26" s="14" t="n">
        <f aca="false">(G26/2)*MAX(0,MIN(1,Inputs!$C$19+(C26-B26)*Inputs!$C$20))</f>
        <v>0.2125</v>
      </c>
      <c r="L26" s="14" t="n">
        <f aca="false">(H26/2)*MAX(0,1-MIN(1,Inputs!$C$23+(C26-B26)*Inputs!$C$24))*0.5</f>
        <v>0.405</v>
      </c>
      <c r="M26" s="14" t="n">
        <f aca="false">(H26/2)*MAX(0,1-MIN(1,Inputs!$C$23+(B26-C26)*Inputs!$C$24))*0.5</f>
        <v>0.315</v>
      </c>
      <c r="N26" s="13" t="n">
        <f aca="false">ROUND(F26*(0.5+(B26-C26)*0.005),0)</f>
        <v>35</v>
      </c>
      <c r="O26" s="13" t="n">
        <f aca="false">F26-N26</f>
        <v>32</v>
      </c>
      <c r="P26" s="14" t="n">
        <f aca="false">N26*MAX(0,MIN(1,Inputs!$C$32+(D26-E26)*Inputs!$C$33))</f>
        <v>8.54</v>
      </c>
      <c r="Q26" s="14" t="n">
        <f aca="false">O26*MAX(0,MIN(1,Inputs!$C$32+(E26-D26)*Inputs!$C$33))</f>
        <v>8.192</v>
      </c>
      <c r="R26" s="13" t="n">
        <f aca="false">ROUND(P26*Inputs!$C$31,0)</f>
        <v>3</v>
      </c>
      <c r="S26" s="13" t="n">
        <f aca="false">ROUND(Q26*Inputs!$C$31,0)</f>
        <v>2</v>
      </c>
      <c r="T26" s="14" t="n">
        <f aca="false">J26+L26+I26*Inputs!$C$28*0.5</f>
        <v>5.1925</v>
      </c>
      <c r="U26" s="14" t="n">
        <f aca="false">K26+M26+I26*Inputs!$C$28*0.5</f>
        <v>5.0275</v>
      </c>
      <c r="V26" s="14" t="n">
        <f aca="false">T26*Inputs!$C$36</f>
        <v>3.63475</v>
      </c>
      <c r="W26" s="14" t="n">
        <f aca="false">U26*Inputs!$C$36</f>
        <v>3.51925</v>
      </c>
      <c r="X26" s="14" t="n">
        <f aca="false">V26*Inputs!$C$37</f>
        <v>2.3625875</v>
      </c>
      <c r="Y26" s="14" t="n">
        <f aca="false">W26*Inputs!$C$37</f>
        <v>2.2875125</v>
      </c>
      <c r="Z26" s="14" t="n">
        <f aca="false">R26*Inputs!$C$38</f>
        <v>2.25</v>
      </c>
      <c r="AA26" s="14" t="n">
        <f aca="false">S26*Inputs!$C$38</f>
        <v>1.5</v>
      </c>
      <c r="AB26" s="13" t="n">
        <f aca="false">ROUND(R26*5+Z26*2+X26*3,0)</f>
        <v>27</v>
      </c>
      <c r="AC26" s="13" t="n">
        <f aca="false">ROUND(S26*5+AA26*2+Y26*3,0)</f>
        <v>20</v>
      </c>
      <c r="AD26" s="13" t="n">
        <f aca="true">IF(RAND()&lt;Inputs!$C$41,1,0)+IF(RAND()&lt;Inputs!$C$41,1,0)</f>
        <v>0</v>
      </c>
      <c r="AE26" s="13" t="n">
        <f aca="true">IF(RAND()&lt;Inputs!$C$42,1,0)+IF(RAND()&lt;Inputs!$C$42,1,0)</f>
        <v>0</v>
      </c>
      <c r="AF26" s="13" t="n">
        <f aca="false">AB26+AC26</f>
        <v>47</v>
      </c>
      <c r="AG26" s="13" t="n">
        <f aca="false">ABS(AB26-AC26)</f>
        <v>7</v>
      </c>
      <c r="AH26" s="13" t="n">
        <f aca="false">R26+S26</f>
        <v>5</v>
      </c>
      <c r="AI26" s="14" t="n">
        <f aca="false">V26+W26</f>
        <v>7.154</v>
      </c>
      <c r="AJ26" s="14" t="n">
        <f aca="false">X26+Y26</f>
        <v>4.6501</v>
      </c>
      <c r="AK26" s="13" t="n">
        <f aca="false">IF(AB26=AC26,1,0)</f>
        <v>0</v>
      </c>
    </row>
    <row r="27" customFormat="false" ht="15" hidden="false" customHeight="false" outlineLevel="0" collapsed="false">
      <c r="A27" s="12" t="n">
        <v>24</v>
      </c>
      <c r="B27" s="13" t="n">
        <f aca="true">ROUND(MAX(30,MIN(95,Inputs!$C$11+(RAND()+RAND()+RAND()-1.5)*Inputs!$C$12*2)),0)</f>
        <v>62</v>
      </c>
      <c r="C27" s="13" t="n">
        <f aca="true">ROUND(MAX(30,MIN(95,Inputs!$C$11+(RAND()+RAND()+RAND()-1.5)*Inputs!$C$12*2)),0)</f>
        <v>86</v>
      </c>
      <c r="D27" s="13" t="n">
        <f aca="true">ROUND(MAX(30,MIN(95,Inputs!$C$13+(RAND()+RAND()+RAND()-1.5)*Inputs!$C$14*2)),0)</f>
        <v>70</v>
      </c>
      <c r="E27" s="13" t="n">
        <f aca="true">ROUND(MAX(30,MIN(95,Inputs!$C$13+(RAND()+RAND()+RAND()-1.5)*Inputs!$C$14*2)),0)</f>
        <v>67</v>
      </c>
      <c r="F27" s="13" t="n">
        <f aca="false">RANDBETWEEN(Inputs!$C$5,Inputs!$C$6)</f>
        <v>68</v>
      </c>
      <c r="G27" s="13" t="n">
        <f aca="false">ROUND(F27*Inputs!$C$7*Inputs!$C$8,0)</f>
        <v>5</v>
      </c>
      <c r="H27" s="13" t="n">
        <f aca="false">ROUND(F27*Inputs!$C$7*(1-Inputs!$C$8),0)</f>
        <v>12</v>
      </c>
      <c r="I27" s="13" t="n">
        <f aca="false">F27-G27-H27</f>
        <v>51</v>
      </c>
      <c r="J27" s="14" t="n">
        <f aca="false">(G27/2)*MAX(0,MIN(1,Inputs!$C$19+(B27-C27)*Inputs!$C$20))</f>
        <v>0.07</v>
      </c>
      <c r="K27" s="14" t="n">
        <f aca="false">(G27/2)*MAX(0,MIN(1,Inputs!$C$19+(C27-B27)*Inputs!$C$20))</f>
        <v>0.43</v>
      </c>
      <c r="L27" s="14" t="n">
        <f aca="false">(H27/2)*MAX(0,1-MIN(1,Inputs!$C$23+(C27-B27)*Inputs!$C$24))*0.5</f>
        <v>0.144</v>
      </c>
      <c r="M27" s="14" t="n">
        <f aca="false">(H27/2)*MAX(0,1-MIN(1,Inputs!$C$23+(B27-C27)*Inputs!$C$24))*0.5</f>
        <v>0.576</v>
      </c>
      <c r="N27" s="13" t="n">
        <f aca="false">ROUND(F27*(0.5+(B27-C27)*0.005),0)</f>
        <v>26</v>
      </c>
      <c r="O27" s="13" t="n">
        <f aca="false">F27-N27</f>
        <v>42</v>
      </c>
      <c r="P27" s="14" t="n">
        <f aca="false">N27*MAX(0,MIN(1,Inputs!$C$32+(D27-E27)*Inputs!$C$33))</f>
        <v>6.734</v>
      </c>
      <c r="Q27" s="14" t="n">
        <f aca="false">O27*MAX(0,MIN(1,Inputs!$C$32+(E27-D27)*Inputs!$C$33))</f>
        <v>10.122</v>
      </c>
      <c r="R27" s="13" t="n">
        <f aca="false">ROUND(P27*Inputs!$C$31,0)</f>
        <v>2</v>
      </c>
      <c r="S27" s="13" t="n">
        <f aca="false">ROUND(Q27*Inputs!$C$31,0)</f>
        <v>3</v>
      </c>
      <c r="T27" s="14" t="n">
        <f aca="false">J27+L27+I27*Inputs!$C$28*0.5</f>
        <v>4.804</v>
      </c>
      <c r="U27" s="14" t="n">
        <f aca="false">K27+M27+I27*Inputs!$C$28*0.5</f>
        <v>5.596</v>
      </c>
      <c r="V27" s="14" t="n">
        <f aca="false">T27*Inputs!$C$36</f>
        <v>3.3628</v>
      </c>
      <c r="W27" s="14" t="n">
        <f aca="false">U27*Inputs!$C$36</f>
        <v>3.9172</v>
      </c>
      <c r="X27" s="14" t="n">
        <f aca="false">V27*Inputs!$C$37</f>
        <v>2.18582</v>
      </c>
      <c r="Y27" s="14" t="n">
        <f aca="false">W27*Inputs!$C$37</f>
        <v>2.54618</v>
      </c>
      <c r="Z27" s="14" t="n">
        <f aca="false">R27*Inputs!$C$38</f>
        <v>1.5</v>
      </c>
      <c r="AA27" s="14" t="n">
        <f aca="false">S27*Inputs!$C$38</f>
        <v>2.25</v>
      </c>
      <c r="AB27" s="13" t="n">
        <f aca="false">ROUND(R27*5+Z27*2+X27*3,0)</f>
        <v>20</v>
      </c>
      <c r="AC27" s="13" t="n">
        <f aca="false">ROUND(S27*5+AA27*2+Y27*3,0)</f>
        <v>27</v>
      </c>
      <c r="AD27" s="13" t="n">
        <f aca="true">IF(RAND()&lt;Inputs!$C$41,1,0)+IF(RAND()&lt;Inputs!$C$41,1,0)</f>
        <v>0</v>
      </c>
      <c r="AE27" s="13" t="n">
        <f aca="true">IF(RAND()&lt;Inputs!$C$42,1,0)+IF(RAND()&lt;Inputs!$C$42,1,0)</f>
        <v>0</v>
      </c>
      <c r="AF27" s="13" t="n">
        <f aca="false">AB27+AC27</f>
        <v>47</v>
      </c>
      <c r="AG27" s="13" t="n">
        <f aca="false">ABS(AB27-AC27)</f>
        <v>7</v>
      </c>
      <c r="AH27" s="13" t="n">
        <f aca="false">R27+S27</f>
        <v>5</v>
      </c>
      <c r="AI27" s="14" t="n">
        <f aca="false">V27+W27</f>
        <v>7.28</v>
      </c>
      <c r="AJ27" s="14" t="n">
        <f aca="false">X27+Y27</f>
        <v>4.732</v>
      </c>
      <c r="AK27" s="13" t="n">
        <f aca="false">IF(AB27=AC27,1,0)</f>
        <v>0</v>
      </c>
    </row>
    <row r="28" customFormat="false" ht="15" hidden="false" customHeight="false" outlineLevel="0" collapsed="false">
      <c r="A28" s="12" t="n">
        <v>25</v>
      </c>
      <c r="B28" s="13" t="n">
        <f aca="true">ROUND(MAX(30,MIN(95,Inputs!$C$11+(RAND()+RAND()+RAND()-1.5)*Inputs!$C$12*2)),0)</f>
        <v>87</v>
      </c>
      <c r="C28" s="13" t="n">
        <f aca="true">ROUND(MAX(30,MIN(95,Inputs!$C$11+(RAND()+RAND()+RAND()-1.5)*Inputs!$C$12*2)),0)</f>
        <v>80</v>
      </c>
      <c r="D28" s="13" t="n">
        <f aca="true">ROUND(MAX(30,MIN(95,Inputs!$C$13+(RAND()+RAND()+RAND()-1.5)*Inputs!$C$14*2)),0)</f>
        <v>63</v>
      </c>
      <c r="E28" s="13" t="n">
        <f aca="true">ROUND(MAX(30,MIN(95,Inputs!$C$13+(RAND()+RAND()+RAND()-1.5)*Inputs!$C$14*2)),0)</f>
        <v>54</v>
      </c>
      <c r="F28" s="13" t="n">
        <f aca="false">RANDBETWEEN(Inputs!$C$5,Inputs!$C$6)</f>
        <v>65</v>
      </c>
      <c r="G28" s="13" t="n">
        <f aca="false">ROUND(F28*Inputs!$C$7*Inputs!$C$8,0)</f>
        <v>5</v>
      </c>
      <c r="H28" s="13" t="n">
        <f aca="false">ROUND(F28*Inputs!$C$7*(1-Inputs!$C$8),0)</f>
        <v>11</v>
      </c>
      <c r="I28" s="13" t="n">
        <f aca="false">F28-G28-H28</f>
        <v>49</v>
      </c>
      <c r="J28" s="14" t="n">
        <f aca="false">(G28/2)*MAX(0,MIN(1,Inputs!$C$19+(B28-C28)*Inputs!$C$20))</f>
        <v>0.3025</v>
      </c>
      <c r="K28" s="14" t="n">
        <f aca="false">(G28/2)*MAX(0,MIN(1,Inputs!$C$19+(C28-B28)*Inputs!$C$20))</f>
        <v>0.1975</v>
      </c>
      <c r="L28" s="14" t="n">
        <f aca="false">(H28/2)*MAX(0,1-MIN(1,Inputs!$C$23+(C28-B28)*Inputs!$C$24))*0.5</f>
        <v>0.38775</v>
      </c>
      <c r="M28" s="14" t="n">
        <f aca="false">(H28/2)*MAX(0,1-MIN(1,Inputs!$C$23+(B28-C28)*Inputs!$C$24))*0.5</f>
        <v>0.27225</v>
      </c>
      <c r="N28" s="13" t="n">
        <f aca="false">ROUND(F28*(0.5+(B28-C28)*0.005),0)</f>
        <v>35</v>
      </c>
      <c r="O28" s="13" t="n">
        <f aca="false">F28-N28</f>
        <v>30</v>
      </c>
      <c r="P28" s="14" t="n">
        <f aca="false">N28*MAX(0,MIN(1,Inputs!$C$32+(D28-E28)*Inputs!$C$33))</f>
        <v>9.695</v>
      </c>
      <c r="Q28" s="14" t="n">
        <f aca="false">O28*MAX(0,MIN(1,Inputs!$C$32+(E28-D28)*Inputs!$C$33))</f>
        <v>6.69</v>
      </c>
      <c r="R28" s="13" t="n">
        <f aca="false">ROUND(P28*Inputs!$C$31,0)</f>
        <v>3</v>
      </c>
      <c r="S28" s="13" t="n">
        <f aca="false">ROUND(Q28*Inputs!$C$31,0)</f>
        <v>2</v>
      </c>
      <c r="T28" s="14" t="n">
        <f aca="false">J28+L28+I28*Inputs!$C$28*0.5</f>
        <v>5.10025</v>
      </c>
      <c r="U28" s="14" t="n">
        <f aca="false">K28+M28+I28*Inputs!$C$28*0.5</f>
        <v>4.87975</v>
      </c>
      <c r="V28" s="14" t="n">
        <f aca="false">T28*Inputs!$C$36</f>
        <v>3.570175</v>
      </c>
      <c r="W28" s="14" t="n">
        <f aca="false">U28*Inputs!$C$36</f>
        <v>3.415825</v>
      </c>
      <c r="X28" s="14" t="n">
        <f aca="false">V28*Inputs!$C$37</f>
        <v>2.32061375</v>
      </c>
      <c r="Y28" s="14" t="n">
        <f aca="false">W28*Inputs!$C$37</f>
        <v>2.22028625</v>
      </c>
      <c r="Z28" s="14" t="n">
        <f aca="false">R28*Inputs!$C$38</f>
        <v>2.25</v>
      </c>
      <c r="AA28" s="14" t="n">
        <f aca="false">S28*Inputs!$C$38</f>
        <v>1.5</v>
      </c>
      <c r="AB28" s="13" t="n">
        <f aca="false">ROUND(R28*5+Z28*2+X28*3,0)</f>
        <v>26</v>
      </c>
      <c r="AC28" s="13" t="n">
        <f aca="false">ROUND(S28*5+AA28*2+Y28*3,0)</f>
        <v>20</v>
      </c>
      <c r="AD28" s="13" t="n">
        <f aca="true">IF(RAND()&lt;Inputs!$C$41,1,0)+IF(RAND()&lt;Inputs!$C$41,1,0)</f>
        <v>1</v>
      </c>
      <c r="AE28" s="13" t="n">
        <f aca="true">IF(RAND()&lt;Inputs!$C$42,1,0)+IF(RAND()&lt;Inputs!$C$42,1,0)</f>
        <v>0</v>
      </c>
      <c r="AF28" s="13" t="n">
        <f aca="false">AB28+AC28</f>
        <v>46</v>
      </c>
      <c r="AG28" s="13" t="n">
        <f aca="false">ABS(AB28-AC28)</f>
        <v>6</v>
      </c>
      <c r="AH28" s="13" t="n">
        <f aca="false">R28+S28</f>
        <v>5</v>
      </c>
      <c r="AI28" s="14" t="n">
        <f aca="false">V28+W28</f>
        <v>6.986</v>
      </c>
      <c r="AJ28" s="14" t="n">
        <f aca="false">X28+Y28</f>
        <v>4.5409</v>
      </c>
      <c r="AK28" s="13" t="n">
        <f aca="false">IF(AB28=AC28,1,0)</f>
        <v>0</v>
      </c>
    </row>
    <row r="29" customFormat="false" ht="15" hidden="false" customHeight="false" outlineLevel="0" collapsed="false">
      <c r="A29" s="12" t="n">
        <v>26</v>
      </c>
      <c r="B29" s="13" t="n">
        <f aca="true">ROUND(MAX(30,MIN(95,Inputs!$C$11+(RAND()+RAND()+RAND()-1.5)*Inputs!$C$12*2)),0)</f>
        <v>74</v>
      </c>
      <c r="C29" s="13" t="n">
        <f aca="true">ROUND(MAX(30,MIN(95,Inputs!$C$11+(RAND()+RAND()+RAND()-1.5)*Inputs!$C$12*2)),0)</f>
        <v>45</v>
      </c>
      <c r="D29" s="13" t="n">
        <f aca="true">ROUND(MAX(30,MIN(95,Inputs!$C$13+(RAND()+RAND()+RAND()-1.5)*Inputs!$C$14*2)),0)</f>
        <v>65</v>
      </c>
      <c r="E29" s="13" t="n">
        <f aca="true">ROUND(MAX(30,MIN(95,Inputs!$C$13+(RAND()+RAND()+RAND()-1.5)*Inputs!$C$14*2)),0)</f>
        <v>62</v>
      </c>
      <c r="F29" s="13" t="n">
        <f aca="false">RANDBETWEEN(Inputs!$C$5,Inputs!$C$6)</f>
        <v>74</v>
      </c>
      <c r="G29" s="13" t="n">
        <f aca="false">ROUND(F29*Inputs!$C$7*Inputs!$C$8,0)</f>
        <v>6</v>
      </c>
      <c r="H29" s="13" t="n">
        <f aca="false">ROUND(F29*Inputs!$C$7*(1-Inputs!$C$8),0)</f>
        <v>13</v>
      </c>
      <c r="I29" s="13" t="n">
        <f aca="false">F29-G29-H29</f>
        <v>55</v>
      </c>
      <c r="J29" s="14" t="n">
        <f aca="false">(G29/2)*MAX(0,MIN(1,Inputs!$C$19+(B29-C29)*Inputs!$C$20))</f>
        <v>0.561</v>
      </c>
      <c r="K29" s="14" t="n">
        <f aca="false">(G29/2)*MAX(0,MIN(1,Inputs!$C$19+(C29-B29)*Inputs!$C$20))</f>
        <v>0.039</v>
      </c>
      <c r="L29" s="14" t="n">
        <f aca="false">(H29/2)*MAX(0,1-MIN(1,Inputs!$C$23+(C29-B29)*Inputs!$C$24))*0.5</f>
        <v>0.67275</v>
      </c>
      <c r="M29" s="14" t="n">
        <f aca="false">(H29/2)*MAX(0,1-MIN(1,Inputs!$C$23+(B29-C29)*Inputs!$C$24))*0.5</f>
        <v>0.10725</v>
      </c>
      <c r="N29" s="13" t="n">
        <f aca="false">ROUND(F29*(0.5+(B29-C29)*0.005),0)</f>
        <v>48</v>
      </c>
      <c r="O29" s="13" t="n">
        <f aca="false">F29-N29</f>
        <v>26</v>
      </c>
      <c r="P29" s="14" t="n">
        <f aca="false">N29*MAX(0,MIN(1,Inputs!$C$32+(D29-E29)*Inputs!$C$33))</f>
        <v>12.432</v>
      </c>
      <c r="Q29" s="14" t="n">
        <f aca="false">O29*MAX(0,MIN(1,Inputs!$C$32+(E29-D29)*Inputs!$C$33))</f>
        <v>6.266</v>
      </c>
      <c r="R29" s="13" t="n">
        <f aca="false">ROUND(P29*Inputs!$C$31,0)</f>
        <v>4</v>
      </c>
      <c r="S29" s="13" t="n">
        <f aca="false">ROUND(Q29*Inputs!$C$31,0)</f>
        <v>2</v>
      </c>
      <c r="T29" s="14" t="n">
        <f aca="false">J29+L29+I29*Inputs!$C$28*0.5</f>
        <v>6.18375</v>
      </c>
      <c r="U29" s="14" t="n">
        <f aca="false">K29+M29+I29*Inputs!$C$28*0.5</f>
        <v>5.09625</v>
      </c>
      <c r="V29" s="14" t="n">
        <f aca="false">T29*Inputs!$C$36</f>
        <v>4.328625</v>
      </c>
      <c r="W29" s="14" t="n">
        <f aca="false">U29*Inputs!$C$36</f>
        <v>3.567375</v>
      </c>
      <c r="X29" s="14" t="n">
        <f aca="false">V29*Inputs!$C$37</f>
        <v>2.81360625</v>
      </c>
      <c r="Y29" s="14" t="n">
        <f aca="false">W29*Inputs!$C$37</f>
        <v>2.31879375</v>
      </c>
      <c r="Z29" s="14" t="n">
        <f aca="false">R29*Inputs!$C$38</f>
        <v>3</v>
      </c>
      <c r="AA29" s="14" t="n">
        <f aca="false">S29*Inputs!$C$38</f>
        <v>1.5</v>
      </c>
      <c r="AB29" s="13" t="n">
        <f aca="false">ROUND(R29*5+Z29*2+X29*3,0)</f>
        <v>34</v>
      </c>
      <c r="AC29" s="13" t="n">
        <f aca="false">ROUND(S29*5+AA29*2+Y29*3,0)</f>
        <v>20</v>
      </c>
      <c r="AD29" s="13" t="n">
        <f aca="true">IF(RAND()&lt;Inputs!$C$41,1,0)+IF(RAND()&lt;Inputs!$C$41,1,0)</f>
        <v>1</v>
      </c>
      <c r="AE29" s="13" t="n">
        <f aca="true">IF(RAND()&lt;Inputs!$C$42,1,0)+IF(RAND()&lt;Inputs!$C$42,1,0)</f>
        <v>0</v>
      </c>
      <c r="AF29" s="13" t="n">
        <f aca="false">AB29+AC29</f>
        <v>54</v>
      </c>
      <c r="AG29" s="13" t="n">
        <f aca="false">ABS(AB29-AC29)</f>
        <v>14</v>
      </c>
      <c r="AH29" s="13" t="n">
        <f aca="false">R29+S29</f>
        <v>6</v>
      </c>
      <c r="AI29" s="14" t="n">
        <f aca="false">V29+W29</f>
        <v>7.896</v>
      </c>
      <c r="AJ29" s="14" t="n">
        <f aca="false">X29+Y29</f>
        <v>5.1324</v>
      </c>
      <c r="AK29" s="13" t="n">
        <f aca="false">IF(AB29=AC29,1,0)</f>
        <v>0</v>
      </c>
    </row>
    <row r="30" customFormat="false" ht="15" hidden="false" customHeight="false" outlineLevel="0" collapsed="false">
      <c r="A30" s="12" t="n">
        <v>27</v>
      </c>
      <c r="B30" s="13" t="n">
        <f aca="true">ROUND(MAX(30,MIN(95,Inputs!$C$11+(RAND()+RAND()+RAND()-1.5)*Inputs!$C$12*2)),0)</f>
        <v>52</v>
      </c>
      <c r="C30" s="13" t="n">
        <f aca="true">ROUND(MAX(30,MIN(95,Inputs!$C$11+(RAND()+RAND()+RAND()-1.5)*Inputs!$C$12*2)),0)</f>
        <v>74</v>
      </c>
      <c r="D30" s="13" t="n">
        <f aca="true">ROUND(MAX(30,MIN(95,Inputs!$C$13+(RAND()+RAND()+RAND()-1.5)*Inputs!$C$14*2)),0)</f>
        <v>61</v>
      </c>
      <c r="E30" s="13" t="n">
        <f aca="true">ROUND(MAX(30,MIN(95,Inputs!$C$13+(RAND()+RAND()+RAND()-1.5)*Inputs!$C$14*2)),0)</f>
        <v>72</v>
      </c>
      <c r="F30" s="13" t="n">
        <f aca="false">RANDBETWEEN(Inputs!$C$5,Inputs!$C$6)</f>
        <v>80</v>
      </c>
      <c r="G30" s="13" t="n">
        <f aca="false">ROUND(F30*Inputs!$C$7*Inputs!$C$8,0)</f>
        <v>6</v>
      </c>
      <c r="H30" s="13" t="n">
        <f aca="false">ROUND(F30*Inputs!$C$7*(1-Inputs!$C$8),0)</f>
        <v>14</v>
      </c>
      <c r="I30" s="13" t="n">
        <f aca="false">F30-G30-H30</f>
        <v>60</v>
      </c>
      <c r="J30" s="14" t="n">
        <f aca="false">(G30/2)*MAX(0,MIN(1,Inputs!$C$19+(B30-C30)*Inputs!$C$20))</f>
        <v>0.102</v>
      </c>
      <c r="K30" s="14" t="n">
        <f aca="false">(G30/2)*MAX(0,MIN(1,Inputs!$C$19+(C30-B30)*Inputs!$C$20))</f>
        <v>0.498</v>
      </c>
      <c r="L30" s="14" t="n">
        <f aca="false">(H30/2)*MAX(0,1-MIN(1,Inputs!$C$23+(C30-B30)*Inputs!$C$24))*0.5</f>
        <v>0.189</v>
      </c>
      <c r="M30" s="14" t="n">
        <f aca="false">(H30/2)*MAX(0,1-MIN(1,Inputs!$C$23+(B30-C30)*Inputs!$C$24))*0.5</f>
        <v>0.651</v>
      </c>
      <c r="N30" s="13" t="n">
        <f aca="false">ROUND(F30*(0.5+(B30-C30)*0.005),0)</f>
        <v>31</v>
      </c>
      <c r="O30" s="13" t="n">
        <f aca="false">F30-N30</f>
        <v>49</v>
      </c>
      <c r="P30" s="14" t="n">
        <f aca="false">N30*MAX(0,MIN(1,Inputs!$C$32+(D30-E30)*Inputs!$C$33))</f>
        <v>6.727</v>
      </c>
      <c r="Q30" s="14" t="n">
        <f aca="false">O30*MAX(0,MIN(1,Inputs!$C$32+(E30-D30)*Inputs!$C$33))</f>
        <v>13.867</v>
      </c>
      <c r="R30" s="13" t="n">
        <f aca="false">ROUND(P30*Inputs!$C$31,0)</f>
        <v>2</v>
      </c>
      <c r="S30" s="13" t="n">
        <f aca="false">ROUND(Q30*Inputs!$C$31,0)</f>
        <v>4</v>
      </c>
      <c r="T30" s="14" t="n">
        <f aca="false">J30+L30+I30*Inputs!$C$28*0.5</f>
        <v>5.691</v>
      </c>
      <c r="U30" s="14" t="n">
        <f aca="false">K30+M30+I30*Inputs!$C$28*0.5</f>
        <v>6.549</v>
      </c>
      <c r="V30" s="14" t="n">
        <f aca="false">T30*Inputs!$C$36</f>
        <v>3.9837</v>
      </c>
      <c r="W30" s="14" t="n">
        <f aca="false">U30*Inputs!$C$36</f>
        <v>4.5843</v>
      </c>
      <c r="X30" s="14" t="n">
        <f aca="false">V30*Inputs!$C$37</f>
        <v>2.589405</v>
      </c>
      <c r="Y30" s="14" t="n">
        <f aca="false">W30*Inputs!$C$37</f>
        <v>2.979795</v>
      </c>
      <c r="Z30" s="14" t="n">
        <f aca="false">R30*Inputs!$C$38</f>
        <v>1.5</v>
      </c>
      <c r="AA30" s="14" t="n">
        <f aca="false">S30*Inputs!$C$38</f>
        <v>3</v>
      </c>
      <c r="AB30" s="13" t="n">
        <f aca="false">ROUND(R30*5+Z30*2+X30*3,0)</f>
        <v>21</v>
      </c>
      <c r="AC30" s="13" t="n">
        <f aca="false">ROUND(S30*5+AA30*2+Y30*3,0)</f>
        <v>35</v>
      </c>
      <c r="AD30" s="13" t="n">
        <f aca="true">IF(RAND()&lt;Inputs!$C$41,1,0)+IF(RAND()&lt;Inputs!$C$41,1,0)</f>
        <v>1</v>
      </c>
      <c r="AE30" s="13" t="n">
        <f aca="true">IF(RAND()&lt;Inputs!$C$42,1,0)+IF(RAND()&lt;Inputs!$C$42,1,0)</f>
        <v>0</v>
      </c>
      <c r="AF30" s="13" t="n">
        <f aca="false">AB30+AC30</f>
        <v>56</v>
      </c>
      <c r="AG30" s="13" t="n">
        <f aca="false">ABS(AB30-AC30)</f>
        <v>14</v>
      </c>
      <c r="AH30" s="13" t="n">
        <f aca="false">R30+S30</f>
        <v>6</v>
      </c>
      <c r="AI30" s="14" t="n">
        <f aca="false">V30+W30</f>
        <v>8.568</v>
      </c>
      <c r="AJ30" s="14" t="n">
        <f aca="false">X30+Y30</f>
        <v>5.5692</v>
      </c>
      <c r="AK30" s="13" t="n">
        <f aca="false">IF(AB30=AC30,1,0)</f>
        <v>0</v>
      </c>
    </row>
    <row r="31" customFormat="false" ht="15" hidden="false" customHeight="false" outlineLevel="0" collapsed="false">
      <c r="A31" s="12" t="n">
        <v>28</v>
      </c>
      <c r="B31" s="13" t="n">
        <f aca="true">ROUND(MAX(30,MIN(95,Inputs!$C$11+(RAND()+RAND()+RAND()-1.5)*Inputs!$C$12*2)),0)</f>
        <v>60</v>
      </c>
      <c r="C31" s="13" t="n">
        <f aca="true">ROUND(MAX(30,MIN(95,Inputs!$C$11+(RAND()+RAND()+RAND()-1.5)*Inputs!$C$12*2)),0)</f>
        <v>65</v>
      </c>
      <c r="D31" s="13" t="n">
        <f aca="true">ROUND(MAX(30,MIN(95,Inputs!$C$13+(RAND()+RAND()+RAND()-1.5)*Inputs!$C$14*2)),0)</f>
        <v>83</v>
      </c>
      <c r="E31" s="13" t="n">
        <f aca="true">ROUND(MAX(30,MIN(95,Inputs!$C$13+(RAND()+RAND()+RAND()-1.5)*Inputs!$C$14*2)),0)</f>
        <v>68</v>
      </c>
      <c r="F31" s="13" t="n">
        <f aca="false">RANDBETWEEN(Inputs!$C$5,Inputs!$C$6)</f>
        <v>77</v>
      </c>
      <c r="G31" s="13" t="n">
        <f aca="false">ROUND(F31*Inputs!$C$7*Inputs!$C$8,0)</f>
        <v>6</v>
      </c>
      <c r="H31" s="13" t="n">
        <f aca="false">ROUND(F31*Inputs!$C$7*(1-Inputs!$C$8),0)</f>
        <v>13</v>
      </c>
      <c r="I31" s="13" t="n">
        <f aca="false">F31-G31-H31</f>
        <v>58</v>
      </c>
      <c r="J31" s="14" t="n">
        <f aca="false">(G31/2)*MAX(0,MIN(1,Inputs!$C$19+(B31-C31)*Inputs!$C$20))</f>
        <v>0.255</v>
      </c>
      <c r="K31" s="14" t="n">
        <f aca="false">(G31/2)*MAX(0,MIN(1,Inputs!$C$19+(C31-B31)*Inputs!$C$20))</f>
        <v>0.345</v>
      </c>
      <c r="L31" s="14" t="n">
        <f aca="false">(H31/2)*MAX(0,1-MIN(1,Inputs!$C$23+(C31-B31)*Inputs!$C$24))*0.5</f>
        <v>0.34125</v>
      </c>
      <c r="M31" s="14" t="n">
        <f aca="false">(H31/2)*MAX(0,1-MIN(1,Inputs!$C$23+(B31-C31)*Inputs!$C$24))*0.5</f>
        <v>0.43875</v>
      </c>
      <c r="N31" s="13" t="n">
        <f aca="false">ROUND(F31*(0.5+(B31-C31)*0.005),0)</f>
        <v>37</v>
      </c>
      <c r="O31" s="13" t="n">
        <f aca="false">F31-N31</f>
        <v>40</v>
      </c>
      <c r="P31" s="14" t="n">
        <f aca="false">N31*MAX(0,MIN(1,Inputs!$C$32+(D31-E31)*Inputs!$C$33))</f>
        <v>10.915</v>
      </c>
      <c r="Q31" s="14" t="n">
        <f aca="false">O31*MAX(0,MIN(1,Inputs!$C$32+(E31-D31)*Inputs!$C$33))</f>
        <v>8.2</v>
      </c>
      <c r="R31" s="13" t="n">
        <f aca="false">ROUND(P31*Inputs!$C$31,0)</f>
        <v>3</v>
      </c>
      <c r="S31" s="13" t="n">
        <f aca="false">ROUND(Q31*Inputs!$C$31,0)</f>
        <v>2</v>
      </c>
      <c r="T31" s="14" t="n">
        <f aca="false">J31+L31+I31*Inputs!$C$28*0.5</f>
        <v>5.81625</v>
      </c>
      <c r="U31" s="14" t="n">
        <f aca="false">K31+M31+I31*Inputs!$C$28*0.5</f>
        <v>6.00375</v>
      </c>
      <c r="V31" s="14" t="n">
        <f aca="false">T31*Inputs!$C$36</f>
        <v>4.071375</v>
      </c>
      <c r="W31" s="14" t="n">
        <f aca="false">U31*Inputs!$C$36</f>
        <v>4.202625</v>
      </c>
      <c r="X31" s="14" t="n">
        <f aca="false">V31*Inputs!$C$37</f>
        <v>2.64639375</v>
      </c>
      <c r="Y31" s="14" t="n">
        <f aca="false">W31*Inputs!$C$37</f>
        <v>2.73170625</v>
      </c>
      <c r="Z31" s="14" t="n">
        <f aca="false">R31*Inputs!$C$38</f>
        <v>2.25</v>
      </c>
      <c r="AA31" s="14" t="n">
        <f aca="false">S31*Inputs!$C$38</f>
        <v>1.5</v>
      </c>
      <c r="AB31" s="13" t="n">
        <f aca="false">ROUND(R31*5+Z31*2+X31*3,0)</f>
        <v>27</v>
      </c>
      <c r="AC31" s="13" t="n">
        <f aca="false">ROUND(S31*5+AA31*2+Y31*3,0)</f>
        <v>21</v>
      </c>
      <c r="AD31" s="13" t="n">
        <f aca="true">IF(RAND()&lt;Inputs!$C$41,1,0)+IF(RAND()&lt;Inputs!$C$41,1,0)</f>
        <v>1</v>
      </c>
      <c r="AE31" s="13" t="n">
        <f aca="true">IF(RAND()&lt;Inputs!$C$42,1,0)+IF(RAND()&lt;Inputs!$C$42,1,0)</f>
        <v>0</v>
      </c>
      <c r="AF31" s="13" t="n">
        <f aca="false">AB31+AC31</f>
        <v>48</v>
      </c>
      <c r="AG31" s="13" t="n">
        <f aca="false">ABS(AB31-AC31)</f>
        <v>6</v>
      </c>
      <c r="AH31" s="13" t="n">
        <f aca="false">R31+S31</f>
        <v>5</v>
      </c>
      <c r="AI31" s="14" t="n">
        <f aca="false">V31+W31</f>
        <v>8.274</v>
      </c>
      <c r="AJ31" s="14" t="n">
        <f aca="false">X31+Y31</f>
        <v>5.3781</v>
      </c>
      <c r="AK31" s="13" t="n">
        <f aca="false">IF(AB31=AC31,1,0)</f>
        <v>0</v>
      </c>
    </row>
    <row r="32" customFormat="false" ht="15" hidden="false" customHeight="false" outlineLevel="0" collapsed="false">
      <c r="A32" s="12" t="n">
        <v>29</v>
      </c>
      <c r="B32" s="13" t="n">
        <f aca="true">ROUND(MAX(30,MIN(95,Inputs!$C$11+(RAND()+RAND()+RAND()-1.5)*Inputs!$C$12*2)),0)</f>
        <v>38</v>
      </c>
      <c r="C32" s="13" t="n">
        <f aca="true">ROUND(MAX(30,MIN(95,Inputs!$C$11+(RAND()+RAND()+RAND()-1.5)*Inputs!$C$12*2)),0)</f>
        <v>60</v>
      </c>
      <c r="D32" s="13" t="n">
        <f aca="true">ROUND(MAX(30,MIN(95,Inputs!$C$13+(RAND()+RAND()+RAND()-1.5)*Inputs!$C$14*2)),0)</f>
        <v>89</v>
      </c>
      <c r="E32" s="13" t="n">
        <f aca="true">ROUND(MAX(30,MIN(95,Inputs!$C$13+(RAND()+RAND()+RAND()-1.5)*Inputs!$C$14*2)),0)</f>
        <v>53</v>
      </c>
      <c r="F32" s="13" t="n">
        <f aca="false">RANDBETWEEN(Inputs!$C$5,Inputs!$C$6)</f>
        <v>65</v>
      </c>
      <c r="G32" s="13" t="n">
        <f aca="false">ROUND(F32*Inputs!$C$7*Inputs!$C$8,0)</f>
        <v>5</v>
      </c>
      <c r="H32" s="13" t="n">
        <f aca="false">ROUND(F32*Inputs!$C$7*(1-Inputs!$C$8),0)</f>
        <v>11</v>
      </c>
      <c r="I32" s="13" t="n">
        <f aca="false">F32-G32-H32</f>
        <v>49</v>
      </c>
      <c r="J32" s="14" t="n">
        <f aca="false">(G32/2)*MAX(0,MIN(1,Inputs!$C$19+(B32-C32)*Inputs!$C$20))</f>
        <v>0.085</v>
      </c>
      <c r="K32" s="14" t="n">
        <f aca="false">(G32/2)*MAX(0,MIN(1,Inputs!$C$19+(C32-B32)*Inputs!$C$20))</f>
        <v>0.415</v>
      </c>
      <c r="L32" s="14" t="n">
        <f aca="false">(H32/2)*MAX(0,1-MIN(1,Inputs!$C$23+(C32-B32)*Inputs!$C$24))*0.5</f>
        <v>0.1485</v>
      </c>
      <c r="M32" s="14" t="n">
        <f aca="false">(H32/2)*MAX(0,1-MIN(1,Inputs!$C$23+(B32-C32)*Inputs!$C$24))*0.5</f>
        <v>0.5115</v>
      </c>
      <c r="N32" s="13" t="n">
        <f aca="false">ROUND(F32*(0.5+(B32-C32)*0.005),0)</f>
        <v>25</v>
      </c>
      <c r="O32" s="13" t="n">
        <f aca="false">F32-N32</f>
        <v>40</v>
      </c>
      <c r="P32" s="14" t="n">
        <f aca="false">N32*MAX(0,MIN(1,Inputs!$C$32+(D32-E32)*Inputs!$C$33))</f>
        <v>8.95</v>
      </c>
      <c r="Q32" s="14" t="n">
        <f aca="false">O32*MAX(0,MIN(1,Inputs!$C$32+(E32-D32)*Inputs!$C$33))</f>
        <v>5.68</v>
      </c>
      <c r="R32" s="13" t="n">
        <f aca="false">ROUND(P32*Inputs!$C$31,0)</f>
        <v>3</v>
      </c>
      <c r="S32" s="13" t="n">
        <f aca="false">ROUND(Q32*Inputs!$C$31,0)</f>
        <v>2</v>
      </c>
      <c r="T32" s="14" t="n">
        <f aca="false">J32+L32+I32*Inputs!$C$28*0.5</f>
        <v>4.6435</v>
      </c>
      <c r="U32" s="14" t="n">
        <f aca="false">K32+M32+I32*Inputs!$C$28*0.5</f>
        <v>5.3365</v>
      </c>
      <c r="V32" s="14" t="n">
        <f aca="false">T32*Inputs!$C$36</f>
        <v>3.25045</v>
      </c>
      <c r="W32" s="14" t="n">
        <f aca="false">U32*Inputs!$C$36</f>
        <v>3.73555</v>
      </c>
      <c r="X32" s="14" t="n">
        <f aca="false">V32*Inputs!$C$37</f>
        <v>2.1127925</v>
      </c>
      <c r="Y32" s="14" t="n">
        <f aca="false">W32*Inputs!$C$37</f>
        <v>2.4281075</v>
      </c>
      <c r="Z32" s="14" t="n">
        <f aca="false">R32*Inputs!$C$38</f>
        <v>2.25</v>
      </c>
      <c r="AA32" s="14" t="n">
        <f aca="false">S32*Inputs!$C$38</f>
        <v>1.5</v>
      </c>
      <c r="AB32" s="13" t="n">
        <f aca="false">ROUND(R32*5+Z32*2+X32*3,0)</f>
        <v>26</v>
      </c>
      <c r="AC32" s="13" t="n">
        <f aca="false">ROUND(S32*5+AA32*2+Y32*3,0)</f>
        <v>20</v>
      </c>
      <c r="AD32" s="13" t="n">
        <f aca="true">IF(RAND()&lt;Inputs!$C$41,1,0)+IF(RAND()&lt;Inputs!$C$41,1,0)</f>
        <v>0</v>
      </c>
      <c r="AE32" s="13" t="n">
        <f aca="true">IF(RAND()&lt;Inputs!$C$42,1,0)+IF(RAND()&lt;Inputs!$C$42,1,0)</f>
        <v>0</v>
      </c>
      <c r="AF32" s="13" t="n">
        <f aca="false">AB32+AC32</f>
        <v>46</v>
      </c>
      <c r="AG32" s="13" t="n">
        <f aca="false">ABS(AB32-AC32)</f>
        <v>6</v>
      </c>
      <c r="AH32" s="13" t="n">
        <f aca="false">R32+S32</f>
        <v>5</v>
      </c>
      <c r="AI32" s="14" t="n">
        <f aca="false">V32+W32</f>
        <v>6.986</v>
      </c>
      <c r="AJ32" s="14" t="n">
        <f aca="false">X32+Y32</f>
        <v>4.5409</v>
      </c>
      <c r="AK32" s="13" t="n">
        <f aca="false">IF(AB32=AC32,1,0)</f>
        <v>0</v>
      </c>
    </row>
    <row r="33" customFormat="false" ht="15" hidden="false" customHeight="false" outlineLevel="0" collapsed="false">
      <c r="A33" s="12" t="n">
        <v>30</v>
      </c>
      <c r="B33" s="13" t="n">
        <f aca="true">ROUND(MAX(30,MIN(95,Inputs!$C$11+(RAND()+RAND()+RAND()-1.5)*Inputs!$C$12*2)),0)</f>
        <v>70</v>
      </c>
      <c r="C33" s="13" t="n">
        <f aca="true">ROUND(MAX(30,MIN(95,Inputs!$C$11+(RAND()+RAND()+RAND()-1.5)*Inputs!$C$12*2)),0)</f>
        <v>58</v>
      </c>
      <c r="D33" s="13" t="n">
        <f aca="true">ROUND(MAX(30,MIN(95,Inputs!$C$13+(RAND()+RAND()+RAND()-1.5)*Inputs!$C$14*2)),0)</f>
        <v>71</v>
      </c>
      <c r="E33" s="13" t="n">
        <f aca="true">ROUND(MAX(30,MIN(95,Inputs!$C$13+(RAND()+RAND()+RAND()-1.5)*Inputs!$C$14*2)),0)</f>
        <v>79</v>
      </c>
      <c r="F33" s="13" t="n">
        <f aca="false">RANDBETWEEN(Inputs!$C$5,Inputs!$C$6)</f>
        <v>85</v>
      </c>
      <c r="G33" s="13" t="n">
        <f aca="false">ROUND(F33*Inputs!$C$7*Inputs!$C$8,0)</f>
        <v>6</v>
      </c>
      <c r="H33" s="13" t="n">
        <f aca="false">ROUND(F33*Inputs!$C$7*(1-Inputs!$C$8),0)</f>
        <v>15</v>
      </c>
      <c r="I33" s="13" t="n">
        <f aca="false">F33-G33-H33</f>
        <v>64</v>
      </c>
      <c r="J33" s="14" t="n">
        <f aca="false">(G33/2)*MAX(0,MIN(1,Inputs!$C$19+(B33-C33)*Inputs!$C$20))</f>
        <v>0.408</v>
      </c>
      <c r="K33" s="14" t="n">
        <f aca="false">(G33/2)*MAX(0,MIN(1,Inputs!$C$19+(C33-B33)*Inputs!$C$20))</f>
        <v>0.192</v>
      </c>
      <c r="L33" s="14" t="n">
        <f aca="false">(H33/2)*MAX(0,1-MIN(1,Inputs!$C$23+(C33-B33)*Inputs!$C$24))*0.5</f>
        <v>0.585</v>
      </c>
      <c r="M33" s="14" t="n">
        <f aca="false">(H33/2)*MAX(0,1-MIN(1,Inputs!$C$23+(B33-C33)*Inputs!$C$24))*0.5</f>
        <v>0.315</v>
      </c>
      <c r="N33" s="13" t="n">
        <f aca="false">ROUND(F33*(0.5+(B33-C33)*0.005),0)</f>
        <v>48</v>
      </c>
      <c r="O33" s="13" t="n">
        <f aca="false">F33-N33</f>
        <v>37</v>
      </c>
      <c r="P33" s="14" t="n">
        <f aca="false">N33*MAX(0,MIN(1,Inputs!$C$32+(D33-E33)*Inputs!$C$33))</f>
        <v>10.848</v>
      </c>
      <c r="Q33" s="14" t="n">
        <f aca="false">O33*MAX(0,MIN(1,Inputs!$C$32+(E33-D33)*Inputs!$C$33))</f>
        <v>10.138</v>
      </c>
      <c r="R33" s="13" t="n">
        <f aca="false">ROUND(P33*Inputs!$C$31,0)</f>
        <v>3</v>
      </c>
      <c r="S33" s="13" t="n">
        <f aca="false">ROUND(Q33*Inputs!$C$31,0)</f>
        <v>3</v>
      </c>
      <c r="T33" s="14" t="n">
        <f aca="false">J33+L33+I33*Inputs!$C$28*0.5</f>
        <v>6.753</v>
      </c>
      <c r="U33" s="14" t="n">
        <f aca="false">K33+M33+I33*Inputs!$C$28*0.5</f>
        <v>6.267</v>
      </c>
      <c r="V33" s="14" t="n">
        <f aca="false">T33*Inputs!$C$36</f>
        <v>4.7271</v>
      </c>
      <c r="W33" s="14" t="n">
        <f aca="false">U33*Inputs!$C$36</f>
        <v>4.3869</v>
      </c>
      <c r="X33" s="14" t="n">
        <f aca="false">V33*Inputs!$C$37</f>
        <v>3.072615</v>
      </c>
      <c r="Y33" s="14" t="n">
        <f aca="false">W33*Inputs!$C$37</f>
        <v>2.851485</v>
      </c>
      <c r="Z33" s="14" t="n">
        <f aca="false">R33*Inputs!$C$38</f>
        <v>2.25</v>
      </c>
      <c r="AA33" s="14" t="n">
        <f aca="false">S33*Inputs!$C$38</f>
        <v>2.25</v>
      </c>
      <c r="AB33" s="13" t="n">
        <f aca="false">ROUND(R33*5+Z33*2+X33*3,0)</f>
        <v>29</v>
      </c>
      <c r="AC33" s="13" t="n">
        <f aca="false">ROUND(S33*5+AA33*2+Y33*3,0)</f>
        <v>28</v>
      </c>
      <c r="AD33" s="13" t="n">
        <f aca="true">IF(RAND()&lt;Inputs!$C$41,1,0)+IF(RAND()&lt;Inputs!$C$41,1,0)</f>
        <v>0</v>
      </c>
      <c r="AE33" s="13" t="n">
        <f aca="true">IF(RAND()&lt;Inputs!$C$42,1,0)+IF(RAND()&lt;Inputs!$C$42,1,0)</f>
        <v>0</v>
      </c>
      <c r="AF33" s="13" t="n">
        <f aca="false">AB33+AC33</f>
        <v>57</v>
      </c>
      <c r="AG33" s="13" t="n">
        <f aca="false">ABS(AB33-AC33)</f>
        <v>1</v>
      </c>
      <c r="AH33" s="13" t="n">
        <f aca="false">R33+S33</f>
        <v>6</v>
      </c>
      <c r="AI33" s="14" t="n">
        <f aca="false">V33+W33</f>
        <v>9.114</v>
      </c>
      <c r="AJ33" s="14" t="n">
        <f aca="false">X33+Y33</f>
        <v>5.9241</v>
      </c>
      <c r="AK33" s="13" t="n">
        <f aca="false">IF(AB33=AC33,1,0)</f>
        <v>0</v>
      </c>
    </row>
    <row r="34" customFormat="false" ht="15" hidden="false" customHeight="false" outlineLevel="0" collapsed="false">
      <c r="A34" s="12" t="n">
        <v>31</v>
      </c>
      <c r="B34" s="13" t="n">
        <f aca="true">ROUND(MAX(30,MIN(95,Inputs!$C$11+(RAND()+RAND()+RAND()-1.5)*Inputs!$C$12*2)),0)</f>
        <v>86</v>
      </c>
      <c r="C34" s="13" t="n">
        <f aca="true">ROUND(MAX(30,MIN(95,Inputs!$C$11+(RAND()+RAND()+RAND()-1.5)*Inputs!$C$12*2)),0)</f>
        <v>61</v>
      </c>
      <c r="D34" s="13" t="n">
        <f aca="true">ROUND(MAX(30,MIN(95,Inputs!$C$13+(RAND()+RAND()+RAND()-1.5)*Inputs!$C$14*2)),0)</f>
        <v>48</v>
      </c>
      <c r="E34" s="13" t="n">
        <f aca="true">ROUND(MAX(30,MIN(95,Inputs!$C$13+(RAND()+RAND()+RAND()-1.5)*Inputs!$C$14*2)),0)</f>
        <v>54</v>
      </c>
      <c r="F34" s="13" t="n">
        <f aca="false">RANDBETWEEN(Inputs!$C$5,Inputs!$C$6)</f>
        <v>85</v>
      </c>
      <c r="G34" s="13" t="n">
        <f aca="false">ROUND(F34*Inputs!$C$7*Inputs!$C$8,0)</f>
        <v>6</v>
      </c>
      <c r="H34" s="13" t="n">
        <f aca="false">ROUND(F34*Inputs!$C$7*(1-Inputs!$C$8),0)</f>
        <v>15</v>
      </c>
      <c r="I34" s="13" t="n">
        <f aca="false">F34-G34-H34</f>
        <v>64</v>
      </c>
      <c r="J34" s="14" t="n">
        <f aca="false">(G34/2)*MAX(0,MIN(1,Inputs!$C$19+(B34-C34)*Inputs!$C$20))</f>
        <v>0.525</v>
      </c>
      <c r="K34" s="14" t="n">
        <f aca="false">(G34/2)*MAX(0,MIN(1,Inputs!$C$19+(C34-B34)*Inputs!$C$20))</f>
        <v>0.075</v>
      </c>
      <c r="L34" s="14" t="n">
        <f aca="false">(H34/2)*MAX(0,1-MIN(1,Inputs!$C$23+(C34-B34)*Inputs!$C$24))*0.5</f>
        <v>0.73125</v>
      </c>
      <c r="M34" s="14" t="n">
        <f aca="false">(H34/2)*MAX(0,1-MIN(1,Inputs!$C$23+(B34-C34)*Inputs!$C$24))*0.5</f>
        <v>0.16875</v>
      </c>
      <c r="N34" s="13" t="n">
        <f aca="false">ROUND(F34*(0.5+(B34-C34)*0.005),0)</f>
        <v>53</v>
      </c>
      <c r="O34" s="13" t="n">
        <f aca="false">F34-N34</f>
        <v>32</v>
      </c>
      <c r="P34" s="14" t="n">
        <f aca="false">N34*MAX(0,MIN(1,Inputs!$C$32+(D34-E34)*Inputs!$C$33))</f>
        <v>12.296</v>
      </c>
      <c r="Q34" s="14" t="n">
        <f aca="false">O34*MAX(0,MIN(1,Inputs!$C$32+(E34-D34)*Inputs!$C$33))</f>
        <v>8.576</v>
      </c>
      <c r="R34" s="13" t="n">
        <f aca="false">ROUND(P34*Inputs!$C$31,0)</f>
        <v>4</v>
      </c>
      <c r="S34" s="13" t="n">
        <f aca="false">ROUND(Q34*Inputs!$C$31,0)</f>
        <v>3</v>
      </c>
      <c r="T34" s="14" t="n">
        <f aca="false">J34+L34+I34*Inputs!$C$28*0.5</f>
        <v>7.01625</v>
      </c>
      <c r="U34" s="14" t="n">
        <f aca="false">K34+M34+I34*Inputs!$C$28*0.5</f>
        <v>6.00375</v>
      </c>
      <c r="V34" s="14" t="n">
        <f aca="false">T34*Inputs!$C$36</f>
        <v>4.911375</v>
      </c>
      <c r="W34" s="14" t="n">
        <f aca="false">U34*Inputs!$C$36</f>
        <v>4.202625</v>
      </c>
      <c r="X34" s="14" t="n">
        <f aca="false">V34*Inputs!$C$37</f>
        <v>3.19239375</v>
      </c>
      <c r="Y34" s="14" t="n">
        <f aca="false">W34*Inputs!$C$37</f>
        <v>2.73170625</v>
      </c>
      <c r="Z34" s="14" t="n">
        <f aca="false">R34*Inputs!$C$38</f>
        <v>3</v>
      </c>
      <c r="AA34" s="14" t="n">
        <f aca="false">S34*Inputs!$C$38</f>
        <v>2.25</v>
      </c>
      <c r="AB34" s="13" t="n">
        <f aca="false">ROUND(R34*5+Z34*2+X34*3,0)</f>
        <v>36</v>
      </c>
      <c r="AC34" s="13" t="n">
        <f aca="false">ROUND(S34*5+AA34*2+Y34*3,0)</f>
        <v>28</v>
      </c>
      <c r="AD34" s="13" t="n">
        <f aca="true">IF(RAND()&lt;Inputs!$C$41,1,0)+IF(RAND()&lt;Inputs!$C$41,1,0)</f>
        <v>0</v>
      </c>
      <c r="AE34" s="13" t="n">
        <f aca="true">IF(RAND()&lt;Inputs!$C$42,1,0)+IF(RAND()&lt;Inputs!$C$42,1,0)</f>
        <v>0</v>
      </c>
      <c r="AF34" s="13" t="n">
        <f aca="false">AB34+AC34</f>
        <v>64</v>
      </c>
      <c r="AG34" s="13" t="n">
        <f aca="false">ABS(AB34-AC34)</f>
        <v>8</v>
      </c>
      <c r="AH34" s="13" t="n">
        <f aca="false">R34+S34</f>
        <v>7</v>
      </c>
      <c r="AI34" s="14" t="n">
        <f aca="false">V34+W34</f>
        <v>9.114</v>
      </c>
      <c r="AJ34" s="14" t="n">
        <f aca="false">X34+Y34</f>
        <v>5.9241</v>
      </c>
      <c r="AK34" s="13" t="n">
        <f aca="false">IF(AB34=AC34,1,0)</f>
        <v>0</v>
      </c>
    </row>
    <row r="35" customFormat="false" ht="15" hidden="false" customHeight="false" outlineLevel="0" collapsed="false">
      <c r="A35" s="12" t="n">
        <v>32</v>
      </c>
      <c r="B35" s="13" t="n">
        <f aca="true">ROUND(MAX(30,MIN(95,Inputs!$C$11+(RAND()+RAND()+RAND()-1.5)*Inputs!$C$12*2)),0)</f>
        <v>54</v>
      </c>
      <c r="C35" s="13" t="n">
        <f aca="true">ROUND(MAX(30,MIN(95,Inputs!$C$11+(RAND()+RAND()+RAND()-1.5)*Inputs!$C$12*2)),0)</f>
        <v>71</v>
      </c>
      <c r="D35" s="13" t="n">
        <f aca="true">ROUND(MAX(30,MIN(95,Inputs!$C$13+(RAND()+RAND()+RAND()-1.5)*Inputs!$C$14*2)),0)</f>
        <v>67</v>
      </c>
      <c r="E35" s="13" t="n">
        <f aca="true">ROUND(MAX(30,MIN(95,Inputs!$C$13+(RAND()+RAND()+RAND()-1.5)*Inputs!$C$14*2)),0)</f>
        <v>71</v>
      </c>
      <c r="F35" s="13" t="n">
        <f aca="false">RANDBETWEEN(Inputs!$C$5,Inputs!$C$6)</f>
        <v>70</v>
      </c>
      <c r="G35" s="13" t="n">
        <f aca="false">ROUND(F35*Inputs!$C$7*Inputs!$C$8,0)</f>
        <v>5</v>
      </c>
      <c r="H35" s="13" t="n">
        <f aca="false">ROUND(F35*Inputs!$C$7*(1-Inputs!$C$8),0)</f>
        <v>12</v>
      </c>
      <c r="I35" s="13" t="n">
        <f aca="false">F35-G35-H35</f>
        <v>53</v>
      </c>
      <c r="J35" s="14" t="n">
        <f aca="false">(G35/2)*MAX(0,MIN(1,Inputs!$C$19+(B35-C35)*Inputs!$C$20))</f>
        <v>0.1225</v>
      </c>
      <c r="K35" s="14" t="n">
        <f aca="false">(G35/2)*MAX(0,MIN(1,Inputs!$C$19+(C35-B35)*Inputs!$C$20))</f>
        <v>0.3775</v>
      </c>
      <c r="L35" s="14" t="n">
        <f aca="false">(H35/2)*MAX(0,1-MIN(1,Inputs!$C$23+(C35-B35)*Inputs!$C$24))*0.5</f>
        <v>0.207</v>
      </c>
      <c r="M35" s="14" t="n">
        <f aca="false">(H35/2)*MAX(0,1-MIN(1,Inputs!$C$23+(B35-C35)*Inputs!$C$24))*0.5</f>
        <v>0.513</v>
      </c>
      <c r="N35" s="13" t="n">
        <f aca="false">ROUND(F35*(0.5+(B35-C35)*0.005),0)</f>
        <v>29</v>
      </c>
      <c r="O35" s="13" t="n">
        <f aca="false">F35-N35</f>
        <v>41</v>
      </c>
      <c r="P35" s="14" t="n">
        <f aca="false">N35*MAX(0,MIN(1,Inputs!$C$32+(D35-E35)*Inputs!$C$33))</f>
        <v>6.902</v>
      </c>
      <c r="Q35" s="14" t="n">
        <f aca="false">O35*MAX(0,MIN(1,Inputs!$C$32+(E35-D35)*Inputs!$C$33))</f>
        <v>10.742</v>
      </c>
      <c r="R35" s="13" t="n">
        <f aca="false">ROUND(P35*Inputs!$C$31,0)</f>
        <v>2</v>
      </c>
      <c r="S35" s="13" t="n">
        <f aca="false">ROUND(Q35*Inputs!$C$31,0)</f>
        <v>3</v>
      </c>
      <c r="T35" s="14" t="n">
        <f aca="false">J35+L35+I35*Inputs!$C$28*0.5</f>
        <v>5.0995</v>
      </c>
      <c r="U35" s="14" t="n">
        <f aca="false">K35+M35+I35*Inputs!$C$28*0.5</f>
        <v>5.6605</v>
      </c>
      <c r="V35" s="14" t="n">
        <f aca="false">T35*Inputs!$C$36</f>
        <v>3.56965</v>
      </c>
      <c r="W35" s="14" t="n">
        <f aca="false">U35*Inputs!$C$36</f>
        <v>3.96235</v>
      </c>
      <c r="X35" s="14" t="n">
        <f aca="false">V35*Inputs!$C$37</f>
        <v>2.3202725</v>
      </c>
      <c r="Y35" s="14" t="n">
        <f aca="false">W35*Inputs!$C$37</f>
        <v>2.5755275</v>
      </c>
      <c r="Z35" s="14" t="n">
        <f aca="false">R35*Inputs!$C$38</f>
        <v>1.5</v>
      </c>
      <c r="AA35" s="14" t="n">
        <f aca="false">S35*Inputs!$C$38</f>
        <v>2.25</v>
      </c>
      <c r="AB35" s="13" t="n">
        <f aca="false">ROUND(R35*5+Z35*2+X35*3,0)</f>
        <v>20</v>
      </c>
      <c r="AC35" s="13" t="n">
        <f aca="false">ROUND(S35*5+AA35*2+Y35*3,0)</f>
        <v>27</v>
      </c>
      <c r="AD35" s="13" t="n">
        <f aca="true">IF(RAND()&lt;Inputs!$C$41,1,0)+IF(RAND()&lt;Inputs!$C$41,1,0)</f>
        <v>1</v>
      </c>
      <c r="AE35" s="13" t="n">
        <f aca="true">IF(RAND()&lt;Inputs!$C$42,1,0)+IF(RAND()&lt;Inputs!$C$42,1,0)</f>
        <v>0</v>
      </c>
      <c r="AF35" s="13" t="n">
        <f aca="false">AB35+AC35</f>
        <v>47</v>
      </c>
      <c r="AG35" s="13" t="n">
        <f aca="false">ABS(AB35-AC35)</f>
        <v>7</v>
      </c>
      <c r="AH35" s="13" t="n">
        <f aca="false">R35+S35</f>
        <v>5</v>
      </c>
      <c r="AI35" s="14" t="n">
        <f aca="false">V35+W35</f>
        <v>7.532</v>
      </c>
      <c r="AJ35" s="14" t="n">
        <f aca="false">X35+Y35</f>
        <v>4.8958</v>
      </c>
      <c r="AK35" s="13" t="n">
        <f aca="false">IF(AB35=AC35,1,0)</f>
        <v>0</v>
      </c>
    </row>
    <row r="36" customFormat="false" ht="15" hidden="false" customHeight="false" outlineLevel="0" collapsed="false">
      <c r="A36" s="12" t="n">
        <v>33</v>
      </c>
      <c r="B36" s="13" t="n">
        <f aca="true">ROUND(MAX(30,MIN(95,Inputs!$C$11+(RAND()+RAND()+RAND()-1.5)*Inputs!$C$12*2)),0)</f>
        <v>64</v>
      </c>
      <c r="C36" s="13" t="n">
        <f aca="true">ROUND(MAX(30,MIN(95,Inputs!$C$11+(RAND()+RAND()+RAND()-1.5)*Inputs!$C$12*2)),0)</f>
        <v>74</v>
      </c>
      <c r="D36" s="13" t="n">
        <f aca="true">ROUND(MAX(30,MIN(95,Inputs!$C$13+(RAND()+RAND()+RAND()-1.5)*Inputs!$C$14*2)),0)</f>
        <v>53</v>
      </c>
      <c r="E36" s="13" t="n">
        <f aca="true">ROUND(MAX(30,MIN(95,Inputs!$C$13+(RAND()+RAND()+RAND()-1.5)*Inputs!$C$14*2)),0)</f>
        <v>65</v>
      </c>
      <c r="F36" s="13" t="n">
        <f aca="false">RANDBETWEEN(Inputs!$C$5,Inputs!$C$6)</f>
        <v>85</v>
      </c>
      <c r="G36" s="13" t="n">
        <f aca="false">ROUND(F36*Inputs!$C$7*Inputs!$C$8,0)</f>
        <v>6</v>
      </c>
      <c r="H36" s="13" t="n">
        <f aca="false">ROUND(F36*Inputs!$C$7*(1-Inputs!$C$8),0)</f>
        <v>15</v>
      </c>
      <c r="I36" s="13" t="n">
        <f aca="false">F36-G36-H36</f>
        <v>64</v>
      </c>
      <c r="J36" s="14" t="n">
        <f aca="false">(G36/2)*MAX(0,MIN(1,Inputs!$C$19+(B36-C36)*Inputs!$C$20))</f>
        <v>0.21</v>
      </c>
      <c r="K36" s="14" t="n">
        <f aca="false">(G36/2)*MAX(0,MIN(1,Inputs!$C$19+(C36-B36)*Inputs!$C$20))</f>
        <v>0.39</v>
      </c>
      <c r="L36" s="14" t="n">
        <f aca="false">(H36/2)*MAX(0,1-MIN(1,Inputs!$C$23+(C36-B36)*Inputs!$C$24))*0.5</f>
        <v>0.3375</v>
      </c>
      <c r="M36" s="14" t="n">
        <f aca="false">(H36/2)*MAX(0,1-MIN(1,Inputs!$C$23+(B36-C36)*Inputs!$C$24))*0.5</f>
        <v>0.5625</v>
      </c>
      <c r="N36" s="13" t="n">
        <f aca="false">ROUND(F36*(0.5+(B36-C36)*0.005),0)</f>
        <v>38</v>
      </c>
      <c r="O36" s="13" t="n">
        <f aca="false">F36-N36</f>
        <v>47</v>
      </c>
      <c r="P36" s="14" t="n">
        <f aca="false">N36*MAX(0,MIN(1,Inputs!$C$32+(D36-E36)*Inputs!$C$33))</f>
        <v>8.132</v>
      </c>
      <c r="Q36" s="14" t="n">
        <f aca="false">O36*MAX(0,MIN(1,Inputs!$C$32+(E36-D36)*Inputs!$C$33))</f>
        <v>13.442</v>
      </c>
      <c r="R36" s="13" t="n">
        <f aca="false">ROUND(P36*Inputs!$C$31,0)</f>
        <v>2</v>
      </c>
      <c r="S36" s="13" t="n">
        <f aca="false">ROUND(Q36*Inputs!$C$31,0)</f>
        <v>4</v>
      </c>
      <c r="T36" s="14" t="n">
        <f aca="false">J36+L36+I36*Inputs!$C$28*0.5</f>
        <v>6.3075</v>
      </c>
      <c r="U36" s="14" t="n">
        <f aca="false">K36+M36+I36*Inputs!$C$28*0.5</f>
        <v>6.7125</v>
      </c>
      <c r="V36" s="14" t="n">
        <f aca="false">T36*Inputs!$C$36</f>
        <v>4.41525</v>
      </c>
      <c r="W36" s="14" t="n">
        <f aca="false">U36*Inputs!$C$36</f>
        <v>4.69875</v>
      </c>
      <c r="X36" s="14" t="n">
        <f aca="false">V36*Inputs!$C$37</f>
        <v>2.8699125</v>
      </c>
      <c r="Y36" s="14" t="n">
        <f aca="false">W36*Inputs!$C$37</f>
        <v>3.0541875</v>
      </c>
      <c r="Z36" s="14" t="n">
        <f aca="false">R36*Inputs!$C$38</f>
        <v>1.5</v>
      </c>
      <c r="AA36" s="14" t="n">
        <f aca="false">S36*Inputs!$C$38</f>
        <v>3</v>
      </c>
      <c r="AB36" s="13" t="n">
        <f aca="false">ROUND(R36*5+Z36*2+X36*3,0)</f>
        <v>22</v>
      </c>
      <c r="AC36" s="13" t="n">
        <f aca="false">ROUND(S36*5+AA36*2+Y36*3,0)</f>
        <v>35</v>
      </c>
      <c r="AD36" s="13" t="n">
        <f aca="true">IF(RAND()&lt;Inputs!$C$41,1,0)+IF(RAND()&lt;Inputs!$C$41,1,0)</f>
        <v>0</v>
      </c>
      <c r="AE36" s="13" t="n">
        <f aca="true">IF(RAND()&lt;Inputs!$C$42,1,0)+IF(RAND()&lt;Inputs!$C$42,1,0)</f>
        <v>0</v>
      </c>
      <c r="AF36" s="13" t="n">
        <f aca="false">AB36+AC36</f>
        <v>57</v>
      </c>
      <c r="AG36" s="13" t="n">
        <f aca="false">ABS(AB36-AC36)</f>
        <v>13</v>
      </c>
      <c r="AH36" s="13" t="n">
        <f aca="false">R36+S36</f>
        <v>6</v>
      </c>
      <c r="AI36" s="14" t="n">
        <f aca="false">V36+W36</f>
        <v>9.114</v>
      </c>
      <c r="AJ36" s="14" t="n">
        <f aca="false">X36+Y36</f>
        <v>5.9241</v>
      </c>
      <c r="AK36" s="13" t="n">
        <f aca="false">IF(AB36=AC36,1,0)</f>
        <v>0</v>
      </c>
    </row>
    <row r="37" customFormat="false" ht="15" hidden="false" customHeight="false" outlineLevel="0" collapsed="false">
      <c r="A37" s="12" t="n">
        <v>34</v>
      </c>
      <c r="B37" s="13" t="n">
        <f aca="true">ROUND(MAX(30,MIN(95,Inputs!$C$11+(RAND()+RAND()+RAND()-1.5)*Inputs!$C$12*2)),0)</f>
        <v>72</v>
      </c>
      <c r="C37" s="13" t="n">
        <f aca="true">ROUND(MAX(30,MIN(95,Inputs!$C$11+(RAND()+RAND()+RAND()-1.5)*Inputs!$C$12*2)),0)</f>
        <v>65</v>
      </c>
      <c r="D37" s="13" t="n">
        <f aca="true">ROUND(MAX(30,MIN(95,Inputs!$C$13+(RAND()+RAND()+RAND()-1.5)*Inputs!$C$14*2)),0)</f>
        <v>77</v>
      </c>
      <c r="E37" s="13" t="n">
        <f aca="true">ROUND(MAX(30,MIN(95,Inputs!$C$13+(RAND()+RAND()+RAND()-1.5)*Inputs!$C$14*2)),0)</f>
        <v>52</v>
      </c>
      <c r="F37" s="13" t="n">
        <f aca="false">RANDBETWEEN(Inputs!$C$5,Inputs!$C$6)</f>
        <v>76</v>
      </c>
      <c r="G37" s="13" t="n">
        <f aca="false">ROUND(F37*Inputs!$C$7*Inputs!$C$8,0)</f>
        <v>6</v>
      </c>
      <c r="H37" s="13" t="n">
        <f aca="false">ROUND(F37*Inputs!$C$7*(1-Inputs!$C$8),0)</f>
        <v>13</v>
      </c>
      <c r="I37" s="13" t="n">
        <f aca="false">F37-G37-H37</f>
        <v>57</v>
      </c>
      <c r="J37" s="14" t="n">
        <f aca="false">(G37/2)*MAX(0,MIN(1,Inputs!$C$19+(B37-C37)*Inputs!$C$20))</f>
        <v>0.363</v>
      </c>
      <c r="K37" s="14" t="n">
        <f aca="false">(G37/2)*MAX(0,MIN(1,Inputs!$C$19+(C37-B37)*Inputs!$C$20))</f>
        <v>0.237</v>
      </c>
      <c r="L37" s="14" t="n">
        <f aca="false">(H37/2)*MAX(0,1-MIN(1,Inputs!$C$23+(C37-B37)*Inputs!$C$24))*0.5</f>
        <v>0.45825</v>
      </c>
      <c r="M37" s="14" t="n">
        <f aca="false">(H37/2)*MAX(0,1-MIN(1,Inputs!$C$23+(B37-C37)*Inputs!$C$24))*0.5</f>
        <v>0.32175</v>
      </c>
      <c r="N37" s="13" t="n">
        <f aca="false">ROUND(F37*(0.5+(B37-C37)*0.005),0)</f>
        <v>41</v>
      </c>
      <c r="O37" s="13" t="n">
        <f aca="false">F37-N37</f>
        <v>35</v>
      </c>
      <c r="P37" s="14" t="n">
        <f aca="false">N37*MAX(0,MIN(1,Inputs!$C$32+(D37-E37)*Inputs!$C$33))</f>
        <v>13.325</v>
      </c>
      <c r="Q37" s="14" t="n">
        <f aca="false">O37*MAX(0,MIN(1,Inputs!$C$32+(E37-D37)*Inputs!$C$33))</f>
        <v>6.125</v>
      </c>
      <c r="R37" s="13" t="n">
        <f aca="false">ROUND(P37*Inputs!$C$31,0)</f>
        <v>4</v>
      </c>
      <c r="S37" s="13" t="n">
        <f aca="false">ROUND(Q37*Inputs!$C$31,0)</f>
        <v>2</v>
      </c>
      <c r="T37" s="14" t="n">
        <f aca="false">J37+L37+I37*Inputs!$C$28*0.5</f>
        <v>5.95125</v>
      </c>
      <c r="U37" s="14" t="n">
        <f aca="false">K37+M37+I37*Inputs!$C$28*0.5</f>
        <v>5.68875</v>
      </c>
      <c r="V37" s="14" t="n">
        <f aca="false">T37*Inputs!$C$36</f>
        <v>4.165875</v>
      </c>
      <c r="W37" s="14" t="n">
        <f aca="false">U37*Inputs!$C$36</f>
        <v>3.982125</v>
      </c>
      <c r="X37" s="14" t="n">
        <f aca="false">V37*Inputs!$C$37</f>
        <v>2.70781875</v>
      </c>
      <c r="Y37" s="14" t="n">
        <f aca="false">W37*Inputs!$C$37</f>
        <v>2.58838125</v>
      </c>
      <c r="Z37" s="14" t="n">
        <f aca="false">R37*Inputs!$C$38</f>
        <v>3</v>
      </c>
      <c r="AA37" s="14" t="n">
        <f aca="false">S37*Inputs!$C$38</f>
        <v>1.5</v>
      </c>
      <c r="AB37" s="13" t="n">
        <f aca="false">ROUND(R37*5+Z37*2+X37*3,0)</f>
        <v>34</v>
      </c>
      <c r="AC37" s="13" t="n">
        <f aca="false">ROUND(S37*5+AA37*2+Y37*3,0)</f>
        <v>21</v>
      </c>
      <c r="AD37" s="13" t="n">
        <f aca="true">IF(RAND()&lt;Inputs!$C$41,1,0)+IF(RAND()&lt;Inputs!$C$41,1,0)</f>
        <v>1</v>
      </c>
      <c r="AE37" s="13" t="n">
        <f aca="true">IF(RAND()&lt;Inputs!$C$42,1,0)+IF(RAND()&lt;Inputs!$C$42,1,0)</f>
        <v>0</v>
      </c>
      <c r="AF37" s="13" t="n">
        <f aca="false">AB37+AC37</f>
        <v>55</v>
      </c>
      <c r="AG37" s="13" t="n">
        <f aca="false">ABS(AB37-AC37)</f>
        <v>13</v>
      </c>
      <c r="AH37" s="13" t="n">
        <f aca="false">R37+S37</f>
        <v>6</v>
      </c>
      <c r="AI37" s="14" t="n">
        <f aca="false">V37+W37</f>
        <v>8.148</v>
      </c>
      <c r="AJ37" s="14" t="n">
        <f aca="false">X37+Y37</f>
        <v>5.2962</v>
      </c>
      <c r="AK37" s="13" t="n">
        <f aca="false">IF(AB37=AC37,1,0)</f>
        <v>0</v>
      </c>
    </row>
    <row r="38" customFormat="false" ht="15" hidden="false" customHeight="false" outlineLevel="0" collapsed="false">
      <c r="A38" s="12" t="n">
        <v>35</v>
      </c>
      <c r="B38" s="13" t="n">
        <f aca="true">ROUND(MAX(30,MIN(95,Inputs!$C$11+(RAND()+RAND()+RAND()-1.5)*Inputs!$C$12*2)),0)</f>
        <v>76</v>
      </c>
      <c r="C38" s="13" t="n">
        <f aca="true">ROUND(MAX(30,MIN(95,Inputs!$C$11+(RAND()+RAND()+RAND()-1.5)*Inputs!$C$12*2)),0)</f>
        <v>87</v>
      </c>
      <c r="D38" s="13" t="n">
        <f aca="true">ROUND(MAX(30,MIN(95,Inputs!$C$13+(RAND()+RAND()+RAND()-1.5)*Inputs!$C$14*2)),0)</f>
        <v>68</v>
      </c>
      <c r="E38" s="13" t="n">
        <f aca="true">ROUND(MAX(30,MIN(95,Inputs!$C$13+(RAND()+RAND()+RAND()-1.5)*Inputs!$C$14*2)),0)</f>
        <v>87</v>
      </c>
      <c r="F38" s="13" t="n">
        <f aca="false">RANDBETWEEN(Inputs!$C$5,Inputs!$C$6)</f>
        <v>78</v>
      </c>
      <c r="G38" s="13" t="n">
        <f aca="false">ROUND(F38*Inputs!$C$7*Inputs!$C$8,0)</f>
        <v>6</v>
      </c>
      <c r="H38" s="13" t="n">
        <f aca="false">ROUND(F38*Inputs!$C$7*(1-Inputs!$C$8),0)</f>
        <v>14</v>
      </c>
      <c r="I38" s="13" t="n">
        <f aca="false">F38-G38-H38</f>
        <v>58</v>
      </c>
      <c r="J38" s="14" t="n">
        <f aca="false">(G38/2)*MAX(0,MIN(1,Inputs!$C$19+(B38-C38)*Inputs!$C$20))</f>
        <v>0.201</v>
      </c>
      <c r="K38" s="14" t="n">
        <f aca="false">(G38/2)*MAX(0,MIN(1,Inputs!$C$19+(C38-B38)*Inputs!$C$20))</f>
        <v>0.399</v>
      </c>
      <c r="L38" s="14" t="n">
        <f aca="false">(H38/2)*MAX(0,1-MIN(1,Inputs!$C$23+(C38-B38)*Inputs!$C$24))*0.5</f>
        <v>0.3045</v>
      </c>
      <c r="M38" s="14" t="n">
        <f aca="false">(H38/2)*MAX(0,1-MIN(1,Inputs!$C$23+(B38-C38)*Inputs!$C$24))*0.5</f>
        <v>0.5355</v>
      </c>
      <c r="N38" s="13" t="n">
        <f aca="false">ROUND(F38*(0.5+(B38-C38)*0.005),0)</f>
        <v>35</v>
      </c>
      <c r="O38" s="13" t="n">
        <f aca="false">F38-N38</f>
        <v>43</v>
      </c>
      <c r="P38" s="14" t="n">
        <f aca="false">N38*MAX(0,MIN(1,Inputs!$C$32+(D38-E38)*Inputs!$C$33))</f>
        <v>6.755</v>
      </c>
      <c r="Q38" s="14" t="n">
        <f aca="false">O38*MAX(0,MIN(1,Inputs!$C$32+(E38-D38)*Inputs!$C$33))</f>
        <v>13.201</v>
      </c>
      <c r="R38" s="13" t="n">
        <f aca="false">ROUND(P38*Inputs!$C$31,0)</f>
        <v>2</v>
      </c>
      <c r="S38" s="13" t="n">
        <f aca="false">ROUND(Q38*Inputs!$C$31,0)</f>
        <v>4</v>
      </c>
      <c r="T38" s="14" t="n">
        <f aca="false">J38+L38+I38*Inputs!$C$28*0.5</f>
        <v>5.7255</v>
      </c>
      <c r="U38" s="14" t="n">
        <f aca="false">K38+M38+I38*Inputs!$C$28*0.5</f>
        <v>6.1545</v>
      </c>
      <c r="V38" s="14" t="n">
        <f aca="false">T38*Inputs!$C$36</f>
        <v>4.00785</v>
      </c>
      <c r="W38" s="14" t="n">
        <f aca="false">U38*Inputs!$C$36</f>
        <v>4.30815</v>
      </c>
      <c r="X38" s="14" t="n">
        <f aca="false">V38*Inputs!$C$37</f>
        <v>2.6051025</v>
      </c>
      <c r="Y38" s="14" t="n">
        <f aca="false">W38*Inputs!$C$37</f>
        <v>2.8002975</v>
      </c>
      <c r="Z38" s="14" t="n">
        <f aca="false">R38*Inputs!$C$38</f>
        <v>1.5</v>
      </c>
      <c r="AA38" s="14" t="n">
        <f aca="false">S38*Inputs!$C$38</f>
        <v>3</v>
      </c>
      <c r="AB38" s="13" t="n">
        <f aca="false">ROUND(R38*5+Z38*2+X38*3,0)</f>
        <v>21</v>
      </c>
      <c r="AC38" s="13" t="n">
        <f aca="false">ROUND(S38*5+AA38*2+Y38*3,0)</f>
        <v>34</v>
      </c>
      <c r="AD38" s="13" t="n">
        <f aca="true">IF(RAND()&lt;Inputs!$C$41,1,0)+IF(RAND()&lt;Inputs!$C$41,1,0)</f>
        <v>0</v>
      </c>
      <c r="AE38" s="13" t="n">
        <f aca="true">IF(RAND()&lt;Inputs!$C$42,1,0)+IF(RAND()&lt;Inputs!$C$42,1,0)</f>
        <v>1</v>
      </c>
      <c r="AF38" s="13" t="n">
        <f aca="false">AB38+AC38</f>
        <v>55</v>
      </c>
      <c r="AG38" s="13" t="n">
        <f aca="false">ABS(AB38-AC38)</f>
        <v>13</v>
      </c>
      <c r="AH38" s="13" t="n">
        <f aca="false">R38+S38</f>
        <v>6</v>
      </c>
      <c r="AI38" s="14" t="n">
        <f aca="false">V38+W38</f>
        <v>8.316</v>
      </c>
      <c r="AJ38" s="14" t="n">
        <f aca="false">X38+Y38</f>
        <v>5.4054</v>
      </c>
      <c r="AK38" s="13" t="n">
        <f aca="false">IF(AB38=AC38,1,0)</f>
        <v>0</v>
      </c>
    </row>
    <row r="39" customFormat="false" ht="15" hidden="false" customHeight="false" outlineLevel="0" collapsed="false">
      <c r="A39" s="12" t="n">
        <v>36</v>
      </c>
      <c r="B39" s="13" t="n">
        <f aca="true">ROUND(MAX(30,MIN(95,Inputs!$C$11+(RAND()+RAND()+RAND()-1.5)*Inputs!$C$12*2)),0)</f>
        <v>65</v>
      </c>
      <c r="C39" s="13" t="n">
        <f aca="true">ROUND(MAX(30,MIN(95,Inputs!$C$11+(RAND()+RAND()+RAND()-1.5)*Inputs!$C$12*2)),0)</f>
        <v>51</v>
      </c>
      <c r="D39" s="13" t="n">
        <f aca="true">ROUND(MAX(30,MIN(95,Inputs!$C$13+(RAND()+RAND()+RAND()-1.5)*Inputs!$C$14*2)),0)</f>
        <v>71</v>
      </c>
      <c r="E39" s="13" t="n">
        <f aca="true">ROUND(MAX(30,MIN(95,Inputs!$C$13+(RAND()+RAND()+RAND()-1.5)*Inputs!$C$14*2)),0)</f>
        <v>49</v>
      </c>
      <c r="F39" s="13" t="n">
        <f aca="false">RANDBETWEEN(Inputs!$C$5,Inputs!$C$6)</f>
        <v>82</v>
      </c>
      <c r="G39" s="13" t="n">
        <f aca="false">ROUND(F39*Inputs!$C$7*Inputs!$C$8,0)</f>
        <v>6</v>
      </c>
      <c r="H39" s="13" t="n">
        <f aca="false">ROUND(F39*Inputs!$C$7*(1-Inputs!$C$8),0)</f>
        <v>14</v>
      </c>
      <c r="I39" s="13" t="n">
        <f aca="false">F39-G39-H39</f>
        <v>62</v>
      </c>
      <c r="J39" s="14" t="n">
        <f aca="false">(G39/2)*MAX(0,MIN(1,Inputs!$C$19+(B39-C39)*Inputs!$C$20))</f>
        <v>0.426</v>
      </c>
      <c r="K39" s="14" t="n">
        <f aca="false">(G39/2)*MAX(0,MIN(1,Inputs!$C$19+(C39-B39)*Inputs!$C$20))</f>
        <v>0.174</v>
      </c>
      <c r="L39" s="14" t="n">
        <f aca="false">(H39/2)*MAX(0,1-MIN(1,Inputs!$C$23+(C39-B39)*Inputs!$C$24))*0.5</f>
        <v>0.567</v>
      </c>
      <c r="M39" s="14" t="n">
        <f aca="false">(H39/2)*MAX(0,1-MIN(1,Inputs!$C$23+(B39-C39)*Inputs!$C$24))*0.5</f>
        <v>0.273</v>
      </c>
      <c r="N39" s="13" t="n">
        <f aca="false">ROUND(F39*(0.5+(B39-C39)*0.005),0)</f>
        <v>47</v>
      </c>
      <c r="O39" s="13" t="n">
        <f aca="false">F39-N39</f>
        <v>35</v>
      </c>
      <c r="P39" s="14" t="n">
        <f aca="false">N39*MAX(0,MIN(1,Inputs!$C$32+(D39-E39)*Inputs!$C$33))</f>
        <v>14.852</v>
      </c>
      <c r="Q39" s="14" t="n">
        <f aca="false">O39*MAX(0,MIN(1,Inputs!$C$32+(E39-D39)*Inputs!$C$33))</f>
        <v>6.44</v>
      </c>
      <c r="R39" s="13" t="n">
        <f aca="false">ROUND(P39*Inputs!$C$31,0)</f>
        <v>4</v>
      </c>
      <c r="S39" s="13" t="n">
        <f aca="false">ROUND(Q39*Inputs!$C$31,0)</f>
        <v>2</v>
      </c>
      <c r="T39" s="14" t="n">
        <f aca="false">J39+L39+I39*Inputs!$C$28*0.5</f>
        <v>6.573</v>
      </c>
      <c r="U39" s="14" t="n">
        <f aca="false">K39+M39+I39*Inputs!$C$28*0.5</f>
        <v>6.027</v>
      </c>
      <c r="V39" s="14" t="n">
        <f aca="false">T39*Inputs!$C$36</f>
        <v>4.6011</v>
      </c>
      <c r="W39" s="14" t="n">
        <f aca="false">U39*Inputs!$C$36</f>
        <v>4.2189</v>
      </c>
      <c r="X39" s="14" t="n">
        <f aca="false">V39*Inputs!$C$37</f>
        <v>2.990715</v>
      </c>
      <c r="Y39" s="14" t="n">
        <f aca="false">W39*Inputs!$C$37</f>
        <v>2.742285</v>
      </c>
      <c r="Z39" s="14" t="n">
        <f aca="false">R39*Inputs!$C$38</f>
        <v>3</v>
      </c>
      <c r="AA39" s="14" t="n">
        <f aca="false">S39*Inputs!$C$38</f>
        <v>1.5</v>
      </c>
      <c r="AB39" s="13" t="n">
        <f aca="false">ROUND(R39*5+Z39*2+X39*3,0)</f>
        <v>35</v>
      </c>
      <c r="AC39" s="13" t="n">
        <f aca="false">ROUND(S39*5+AA39*2+Y39*3,0)</f>
        <v>21</v>
      </c>
      <c r="AD39" s="13" t="n">
        <f aca="true">IF(RAND()&lt;Inputs!$C$41,1,0)+IF(RAND()&lt;Inputs!$C$41,1,0)</f>
        <v>0</v>
      </c>
      <c r="AE39" s="13" t="n">
        <f aca="true">IF(RAND()&lt;Inputs!$C$42,1,0)+IF(RAND()&lt;Inputs!$C$42,1,0)</f>
        <v>0</v>
      </c>
      <c r="AF39" s="13" t="n">
        <f aca="false">AB39+AC39</f>
        <v>56</v>
      </c>
      <c r="AG39" s="13" t="n">
        <f aca="false">ABS(AB39-AC39)</f>
        <v>14</v>
      </c>
      <c r="AH39" s="13" t="n">
        <f aca="false">R39+S39</f>
        <v>6</v>
      </c>
      <c r="AI39" s="14" t="n">
        <f aca="false">V39+W39</f>
        <v>8.82</v>
      </c>
      <c r="AJ39" s="14" t="n">
        <f aca="false">X39+Y39</f>
        <v>5.733</v>
      </c>
      <c r="AK39" s="13" t="n">
        <f aca="false">IF(AB39=AC39,1,0)</f>
        <v>0</v>
      </c>
    </row>
    <row r="40" customFormat="false" ht="15" hidden="false" customHeight="false" outlineLevel="0" collapsed="false">
      <c r="A40" s="12" t="n">
        <v>37</v>
      </c>
      <c r="B40" s="13" t="n">
        <f aca="true">ROUND(MAX(30,MIN(95,Inputs!$C$11+(RAND()+RAND()+RAND()-1.5)*Inputs!$C$12*2)),0)</f>
        <v>55</v>
      </c>
      <c r="C40" s="13" t="n">
        <f aca="true">ROUND(MAX(30,MIN(95,Inputs!$C$11+(RAND()+RAND()+RAND()-1.5)*Inputs!$C$12*2)),0)</f>
        <v>83</v>
      </c>
      <c r="D40" s="13" t="n">
        <f aca="true">ROUND(MAX(30,MIN(95,Inputs!$C$13+(RAND()+RAND()+RAND()-1.5)*Inputs!$C$14*2)),0)</f>
        <v>74</v>
      </c>
      <c r="E40" s="13" t="n">
        <f aca="true">ROUND(MAX(30,MIN(95,Inputs!$C$13+(RAND()+RAND()+RAND()-1.5)*Inputs!$C$14*2)),0)</f>
        <v>69</v>
      </c>
      <c r="F40" s="13" t="n">
        <f aca="false">RANDBETWEEN(Inputs!$C$5,Inputs!$C$6)</f>
        <v>69</v>
      </c>
      <c r="G40" s="13" t="n">
        <f aca="false">ROUND(F40*Inputs!$C$7*Inputs!$C$8,0)</f>
        <v>5</v>
      </c>
      <c r="H40" s="13" t="n">
        <f aca="false">ROUND(F40*Inputs!$C$7*(1-Inputs!$C$8),0)</f>
        <v>12</v>
      </c>
      <c r="I40" s="13" t="n">
        <f aca="false">F40-G40-H40</f>
        <v>52</v>
      </c>
      <c r="J40" s="14" t="n">
        <f aca="false">(G40/2)*MAX(0,MIN(1,Inputs!$C$19+(B40-C40)*Inputs!$C$20))</f>
        <v>0.04</v>
      </c>
      <c r="K40" s="14" t="n">
        <f aca="false">(G40/2)*MAX(0,MIN(1,Inputs!$C$19+(C40-B40)*Inputs!$C$20))</f>
        <v>0.46</v>
      </c>
      <c r="L40" s="14" t="n">
        <f aca="false">(H40/2)*MAX(0,1-MIN(1,Inputs!$C$23+(C40-B40)*Inputs!$C$24))*0.5</f>
        <v>0.108</v>
      </c>
      <c r="M40" s="14" t="n">
        <f aca="false">(H40/2)*MAX(0,1-MIN(1,Inputs!$C$23+(B40-C40)*Inputs!$C$24))*0.5</f>
        <v>0.612</v>
      </c>
      <c r="N40" s="13" t="n">
        <f aca="false">ROUND(F40*(0.5+(B40-C40)*0.005),0)</f>
        <v>25</v>
      </c>
      <c r="O40" s="13" t="n">
        <f aca="false">F40-N40</f>
        <v>44</v>
      </c>
      <c r="P40" s="14" t="n">
        <f aca="false">N40*MAX(0,MIN(1,Inputs!$C$32+(D40-E40)*Inputs!$C$33))</f>
        <v>6.625</v>
      </c>
      <c r="Q40" s="14" t="n">
        <f aca="false">O40*MAX(0,MIN(1,Inputs!$C$32+(E40-D40)*Inputs!$C$33))</f>
        <v>10.34</v>
      </c>
      <c r="R40" s="13" t="n">
        <f aca="false">ROUND(P40*Inputs!$C$31,0)</f>
        <v>2</v>
      </c>
      <c r="S40" s="13" t="n">
        <f aca="false">ROUND(Q40*Inputs!$C$31,0)</f>
        <v>3</v>
      </c>
      <c r="T40" s="14" t="n">
        <f aca="false">J40+L40+I40*Inputs!$C$28*0.5</f>
        <v>4.828</v>
      </c>
      <c r="U40" s="14" t="n">
        <f aca="false">K40+M40+I40*Inputs!$C$28*0.5</f>
        <v>5.752</v>
      </c>
      <c r="V40" s="14" t="n">
        <f aca="false">T40*Inputs!$C$36</f>
        <v>3.3796</v>
      </c>
      <c r="W40" s="14" t="n">
        <f aca="false">U40*Inputs!$C$36</f>
        <v>4.0264</v>
      </c>
      <c r="X40" s="14" t="n">
        <f aca="false">V40*Inputs!$C$37</f>
        <v>2.19674</v>
      </c>
      <c r="Y40" s="14" t="n">
        <f aca="false">W40*Inputs!$C$37</f>
        <v>2.61716</v>
      </c>
      <c r="Z40" s="14" t="n">
        <f aca="false">R40*Inputs!$C$38</f>
        <v>1.5</v>
      </c>
      <c r="AA40" s="14" t="n">
        <f aca="false">S40*Inputs!$C$38</f>
        <v>2.25</v>
      </c>
      <c r="AB40" s="13" t="n">
        <f aca="false">ROUND(R40*5+Z40*2+X40*3,0)</f>
        <v>20</v>
      </c>
      <c r="AC40" s="13" t="n">
        <f aca="false">ROUND(S40*5+AA40*2+Y40*3,0)</f>
        <v>27</v>
      </c>
      <c r="AD40" s="13" t="n">
        <f aca="true">IF(RAND()&lt;Inputs!$C$41,1,0)+IF(RAND()&lt;Inputs!$C$41,1,0)</f>
        <v>1</v>
      </c>
      <c r="AE40" s="13" t="n">
        <f aca="true">IF(RAND()&lt;Inputs!$C$42,1,0)+IF(RAND()&lt;Inputs!$C$42,1,0)</f>
        <v>0</v>
      </c>
      <c r="AF40" s="13" t="n">
        <f aca="false">AB40+AC40</f>
        <v>47</v>
      </c>
      <c r="AG40" s="13" t="n">
        <f aca="false">ABS(AB40-AC40)</f>
        <v>7</v>
      </c>
      <c r="AH40" s="13" t="n">
        <f aca="false">R40+S40</f>
        <v>5</v>
      </c>
      <c r="AI40" s="14" t="n">
        <f aca="false">V40+W40</f>
        <v>7.406</v>
      </c>
      <c r="AJ40" s="14" t="n">
        <f aca="false">X40+Y40</f>
        <v>4.8139</v>
      </c>
      <c r="AK40" s="13" t="n">
        <f aca="false">IF(AB40=AC40,1,0)</f>
        <v>0</v>
      </c>
    </row>
    <row r="41" customFormat="false" ht="15" hidden="false" customHeight="false" outlineLevel="0" collapsed="false">
      <c r="A41" s="12" t="n">
        <v>38</v>
      </c>
      <c r="B41" s="13" t="n">
        <f aca="true">ROUND(MAX(30,MIN(95,Inputs!$C$11+(RAND()+RAND()+RAND()-1.5)*Inputs!$C$12*2)),0)</f>
        <v>64</v>
      </c>
      <c r="C41" s="13" t="n">
        <f aca="true">ROUND(MAX(30,MIN(95,Inputs!$C$11+(RAND()+RAND()+RAND()-1.5)*Inputs!$C$12*2)),0)</f>
        <v>77</v>
      </c>
      <c r="D41" s="13" t="n">
        <f aca="true">ROUND(MAX(30,MIN(95,Inputs!$C$13+(RAND()+RAND()+RAND()-1.5)*Inputs!$C$14*2)),0)</f>
        <v>73</v>
      </c>
      <c r="E41" s="13" t="n">
        <f aca="true">ROUND(MAX(30,MIN(95,Inputs!$C$13+(RAND()+RAND()+RAND()-1.5)*Inputs!$C$14*2)),0)</f>
        <v>70</v>
      </c>
      <c r="F41" s="13" t="n">
        <f aca="false">RANDBETWEEN(Inputs!$C$5,Inputs!$C$6)</f>
        <v>90</v>
      </c>
      <c r="G41" s="13" t="n">
        <f aca="false">ROUND(F41*Inputs!$C$7*Inputs!$C$8,0)</f>
        <v>7</v>
      </c>
      <c r="H41" s="13" t="n">
        <f aca="false">ROUND(F41*Inputs!$C$7*(1-Inputs!$C$8),0)</f>
        <v>16</v>
      </c>
      <c r="I41" s="13" t="n">
        <f aca="false">F41-G41-H41</f>
        <v>67</v>
      </c>
      <c r="J41" s="14" t="n">
        <f aca="false">(G41/2)*MAX(0,MIN(1,Inputs!$C$19+(B41-C41)*Inputs!$C$20))</f>
        <v>0.2135</v>
      </c>
      <c r="K41" s="14" t="n">
        <f aca="false">(G41/2)*MAX(0,MIN(1,Inputs!$C$19+(C41-B41)*Inputs!$C$20))</f>
        <v>0.4865</v>
      </c>
      <c r="L41" s="14" t="n">
        <f aca="false">(H41/2)*MAX(0,1-MIN(1,Inputs!$C$23+(C41-B41)*Inputs!$C$24))*0.5</f>
        <v>0.324</v>
      </c>
      <c r="M41" s="14" t="n">
        <f aca="false">(H41/2)*MAX(0,1-MIN(1,Inputs!$C$23+(B41-C41)*Inputs!$C$24))*0.5</f>
        <v>0.636</v>
      </c>
      <c r="N41" s="13" t="n">
        <f aca="false">ROUND(F41*(0.5+(B41-C41)*0.005),0)</f>
        <v>39</v>
      </c>
      <c r="O41" s="13" t="n">
        <f aca="false">F41-N41</f>
        <v>51</v>
      </c>
      <c r="P41" s="14" t="n">
        <f aca="false">N41*MAX(0,MIN(1,Inputs!$C$32+(D41-E41)*Inputs!$C$33))</f>
        <v>10.101</v>
      </c>
      <c r="Q41" s="14" t="n">
        <f aca="false">O41*MAX(0,MIN(1,Inputs!$C$32+(E41-D41)*Inputs!$C$33))</f>
        <v>12.291</v>
      </c>
      <c r="R41" s="13" t="n">
        <f aca="false">ROUND(P41*Inputs!$C$31,0)</f>
        <v>3</v>
      </c>
      <c r="S41" s="13" t="n">
        <f aca="false">ROUND(Q41*Inputs!$C$31,0)</f>
        <v>4</v>
      </c>
      <c r="T41" s="14" t="n">
        <f aca="false">J41+L41+I41*Inputs!$C$28*0.5</f>
        <v>6.5675</v>
      </c>
      <c r="U41" s="14" t="n">
        <f aca="false">K41+M41+I41*Inputs!$C$28*0.5</f>
        <v>7.1525</v>
      </c>
      <c r="V41" s="14" t="n">
        <f aca="false">T41*Inputs!$C$36</f>
        <v>4.59725</v>
      </c>
      <c r="W41" s="14" t="n">
        <f aca="false">U41*Inputs!$C$36</f>
        <v>5.00675</v>
      </c>
      <c r="X41" s="14" t="n">
        <f aca="false">V41*Inputs!$C$37</f>
        <v>2.9882125</v>
      </c>
      <c r="Y41" s="14" t="n">
        <f aca="false">W41*Inputs!$C$37</f>
        <v>3.2543875</v>
      </c>
      <c r="Z41" s="14" t="n">
        <f aca="false">R41*Inputs!$C$38</f>
        <v>2.25</v>
      </c>
      <c r="AA41" s="14" t="n">
        <f aca="false">S41*Inputs!$C$38</f>
        <v>3</v>
      </c>
      <c r="AB41" s="13" t="n">
        <f aca="false">ROUND(R41*5+Z41*2+X41*3,0)</f>
        <v>28</v>
      </c>
      <c r="AC41" s="13" t="n">
        <f aca="false">ROUND(S41*5+AA41*2+Y41*3,0)</f>
        <v>36</v>
      </c>
      <c r="AD41" s="13" t="n">
        <f aca="true">IF(RAND()&lt;Inputs!$C$41,1,0)+IF(RAND()&lt;Inputs!$C$41,1,0)</f>
        <v>1</v>
      </c>
      <c r="AE41" s="13" t="n">
        <f aca="true">IF(RAND()&lt;Inputs!$C$42,1,0)+IF(RAND()&lt;Inputs!$C$42,1,0)</f>
        <v>1</v>
      </c>
      <c r="AF41" s="13" t="n">
        <f aca="false">AB41+AC41</f>
        <v>64</v>
      </c>
      <c r="AG41" s="13" t="n">
        <f aca="false">ABS(AB41-AC41)</f>
        <v>8</v>
      </c>
      <c r="AH41" s="13" t="n">
        <f aca="false">R41+S41</f>
        <v>7</v>
      </c>
      <c r="AI41" s="14" t="n">
        <f aca="false">V41+W41</f>
        <v>9.604</v>
      </c>
      <c r="AJ41" s="14" t="n">
        <f aca="false">X41+Y41</f>
        <v>6.2426</v>
      </c>
      <c r="AK41" s="13" t="n">
        <f aca="false">IF(AB41=AC41,1,0)</f>
        <v>0</v>
      </c>
    </row>
    <row r="42" customFormat="false" ht="15" hidden="false" customHeight="false" outlineLevel="0" collapsed="false">
      <c r="A42" s="12" t="n">
        <v>39</v>
      </c>
      <c r="B42" s="13" t="n">
        <f aca="true">ROUND(MAX(30,MIN(95,Inputs!$C$11+(RAND()+RAND()+RAND()-1.5)*Inputs!$C$12*2)),0)</f>
        <v>59</v>
      </c>
      <c r="C42" s="13" t="n">
        <f aca="true">ROUND(MAX(30,MIN(95,Inputs!$C$11+(RAND()+RAND()+RAND()-1.5)*Inputs!$C$12*2)),0)</f>
        <v>71</v>
      </c>
      <c r="D42" s="13" t="n">
        <f aca="true">ROUND(MAX(30,MIN(95,Inputs!$C$13+(RAND()+RAND()+RAND()-1.5)*Inputs!$C$14*2)),0)</f>
        <v>65</v>
      </c>
      <c r="E42" s="13" t="n">
        <f aca="true">ROUND(MAX(30,MIN(95,Inputs!$C$13+(RAND()+RAND()+RAND()-1.5)*Inputs!$C$14*2)),0)</f>
        <v>73</v>
      </c>
      <c r="F42" s="13" t="n">
        <f aca="false">RANDBETWEEN(Inputs!$C$5,Inputs!$C$6)</f>
        <v>70</v>
      </c>
      <c r="G42" s="13" t="n">
        <f aca="false">ROUND(F42*Inputs!$C$7*Inputs!$C$8,0)</f>
        <v>5</v>
      </c>
      <c r="H42" s="13" t="n">
        <f aca="false">ROUND(F42*Inputs!$C$7*(1-Inputs!$C$8),0)</f>
        <v>12</v>
      </c>
      <c r="I42" s="13" t="n">
        <f aca="false">F42-G42-H42</f>
        <v>53</v>
      </c>
      <c r="J42" s="14" t="n">
        <f aca="false">(G42/2)*MAX(0,MIN(1,Inputs!$C$19+(B42-C42)*Inputs!$C$20))</f>
        <v>0.16</v>
      </c>
      <c r="K42" s="14" t="n">
        <f aca="false">(G42/2)*MAX(0,MIN(1,Inputs!$C$19+(C42-B42)*Inputs!$C$20))</f>
        <v>0.34</v>
      </c>
      <c r="L42" s="14" t="n">
        <f aca="false">(H42/2)*MAX(0,1-MIN(1,Inputs!$C$23+(C42-B42)*Inputs!$C$24))*0.5</f>
        <v>0.252</v>
      </c>
      <c r="M42" s="14" t="n">
        <f aca="false">(H42/2)*MAX(0,1-MIN(1,Inputs!$C$23+(B42-C42)*Inputs!$C$24))*0.5</f>
        <v>0.468</v>
      </c>
      <c r="N42" s="13" t="n">
        <f aca="false">ROUND(F42*(0.5+(B42-C42)*0.005),0)</f>
        <v>31</v>
      </c>
      <c r="O42" s="13" t="n">
        <f aca="false">F42-N42</f>
        <v>39</v>
      </c>
      <c r="P42" s="14" t="n">
        <f aca="false">N42*MAX(0,MIN(1,Inputs!$C$32+(D42-E42)*Inputs!$C$33))</f>
        <v>7.006</v>
      </c>
      <c r="Q42" s="14" t="n">
        <f aca="false">O42*MAX(0,MIN(1,Inputs!$C$32+(E42-D42)*Inputs!$C$33))</f>
        <v>10.686</v>
      </c>
      <c r="R42" s="13" t="n">
        <f aca="false">ROUND(P42*Inputs!$C$31,0)</f>
        <v>2</v>
      </c>
      <c r="S42" s="13" t="n">
        <f aca="false">ROUND(Q42*Inputs!$C$31,0)</f>
        <v>3</v>
      </c>
      <c r="T42" s="14" t="n">
        <f aca="false">J42+L42+I42*Inputs!$C$28*0.5</f>
        <v>5.182</v>
      </c>
      <c r="U42" s="14" t="n">
        <f aca="false">K42+M42+I42*Inputs!$C$28*0.5</f>
        <v>5.578</v>
      </c>
      <c r="V42" s="14" t="n">
        <f aca="false">T42*Inputs!$C$36</f>
        <v>3.6274</v>
      </c>
      <c r="W42" s="14" t="n">
        <f aca="false">U42*Inputs!$C$36</f>
        <v>3.9046</v>
      </c>
      <c r="X42" s="14" t="n">
        <f aca="false">V42*Inputs!$C$37</f>
        <v>2.35781</v>
      </c>
      <c r="Y42" s="14" t="n">
        <f aca="false">W42*Inputs!$C$37</f>
        <v>2.53799</v>
      </c>
      <c r="Z42" s="14" t="n">
        <f aca="false">R42*Inputs!$C$38</f>
        <v>1.5</v>
      </c>
      <c r="AA42" s="14" t="n">
        <f aca="false">S42*Inputs!$C$38</f>
        <v>2.25</v>
      </c>
      <c r="AB42" s="13" t="n">
        <f aca="false">ROUND(R42*5+Z42*2+X42*3,0)</f>
        <v>20</v>
      </c>
      <c r="AC42" s="13" t="n">
        <f aca="false">ROUND(S42*5+AA42*2+Y42*3,0)</f>
        <v>27</v>
      </c>
      <c r="AD42" s="13" t="n">
        <f aca="true">IF(RAND()&lt;Inputs!$C$41,1,0)+IF(RAND()&lt;Inputs!$C$41,1,0)</f>
        <v>1</v>
      </c>
      <c r="AE42" s="13" t="n">
        <f aca="true">IF(RAND()&lt;Inputs!$C$42,1,0)+IF(RAND()&lt;Inputs!$C$42,1,0)</f>
        <v>0</v>
      </c>
      <c r="AF42" s="13" t="n">
        <f aca="false">AB42+AC42</f>
        <v>47</v>
      </c>
      <c r="AG42" s="13" t="n">
        <f aca="false">ABS(AB42-AC42)</f>
        <v>7</v>
      </c>
      <c r="AH42" s="13" t="n">
        <f aca="false">R42+S42</f>
        <v>5</v>
      </c>
      <c r="AI42" s="14" t="n">
        <f aca="false">V42+W42</f>
        <v>7.532</v>
      </c>
      <c r="AJ42" s="14" t="n">
        <f aca="false">X42+Y42</f>
        <v>4.8958</v>
      </c>
      <c r="AK42" s="13" t="n">
        <f aca="false">IF(AB42=AC42,1,0)</f>
        <v>0</v>
      </c>
    </row>
    <row r="43" customFormat="false" ht="15" hidden="false" customHeight="false" outlineLevel="0" collapsed="false">
      <c r="A43" s="12" t="n">
        <v>40</v>
      </c>
      <c r="B43" s="13" t="n">
        <f aca="true">ROUND(MAX(30,MIN(95,Inputs!$C$11+(RAND()+RAND()+RAND()-1.5)*Inputs!$C$12*2)),0)</f>
        <v>73</v>
      </c>
      <c r="C43" s="13" t="n">
        <f aca="true">ROUND(MAX(30,MIN(95,Inputs!$C$11+(RAND()+RAND()+RAND()-1.5)*Inputs!$C$12*2)),0)</f>
        <v>47</v>
      </c>
      <c r="D43" s="13" t="n">
        <f aca="true">ROUND(MAX(30,MIN(95,Inputs!$C$13+(RAND()+RAND()+RAND()-1.5)*Inputs!$C$14*2)),0)</f>
        <v>88</v>
      </c>
      <c r="E43" s="13" t="n">
        <f aca="true">ROUND(MAX(30,MIN(95,Inputs!$C$13+(RAND()+RAND()+RAND()-1.5)*Inputs!$C$14*2)),0)</f>
        <v>92</v>
      </c>
      <c r="F43" s="13" t="n">
        <f aca="false">RANDBETWEEN(Inputs!$C$5,Inputs!$C$6)</f>
        <v>84</v>
      </c>
      <c r="G43" s="13" t="n">
        <f aca="false">ROUND(F43*Inputs!$C$7*Inputs!$C$8,0)</f>
        <v>6</v>
      </c>
      <c r="H43" s="13" t="n">
        <f aca="false">ROUND(F43*Inputs!$C$7*(1-Inputs!$C$8),0)</f>
        <v>15</v>
      </c>
      <c r="I43" s="13" t="n">
        <f aca="false">F43-G43-H43</f>
        <v>63</v>
      </c>
      <c r="J43" s="14" t="n">
        <f aca="false">(G43/2)*MAX(0,MIN(1,Inputs!$C$19+(B43-C43)*Inputs!$C$20))</f>
        <v>0.534</v>
      </c>
      <c r="K43" s="14" t="n">
        <f aca="false">(G43/2)*MAX(0,MIN(1,Inputs!$C$19+(C43-B43)*Inputs!$C$20))</f>
        <v>0.066</v>
      </c>
      <c r="L43" s="14" t="n">
        <f aca="false">(H43/2)*MAX(0,1-MIN(1,Inputs!$C$23+(C43-B43)*Inputs!$C$24))*0.5</f>
        <v>0.7425</v>
      </c>
      <c r="M43" s="14" t="n">
        <f aca="false">(H43/2)*MAX(0,1-MIN(1,Inputs!$C$23+(B43-C43)*Inputs!$C$24))*0.5</f>
        <v>0.1575</v>
      </c>
      <c r="N43" s="13" t="n">
        <f aca="false">ROUND(F43*(0.5+(B43-C43)*0.005),0)</f>
        <v>53</v>
      </c>
      <c r="O43" s="13" t="n">
        <f aca="false">F43-N43</f>
        <v>31</v>
      </c>
      <c r="P43" s="14" t="n">
        <f aca="false">N43*MAX(0,MIN(1,Inputs!$C$32+(D43-E43)*Inputs!$C$33))</f>
        <v>12.614</v>
      </c>
      <c r="Q43" s="14" t="n">
        <f aca="false">O43*MAX(0,MIN(1,Inputs!$C$32+(E43-D43)*Inputs!$C$33))</f>
        <v>8.122</v>
      </c>
      <c r="R43" s="13" t="n">
        <f aca="false">ROUND(P43*Inputs!$C$31,0)</f>
        <v>4</v>
      </c>
      <c r="S43" s="13" t="n">
        <f aca="false">ROUND(Q43*Inputs!$C$31,0)</f>
        <v>2</v>
      </c>
      <c r="T43" s="14" t="n">
        <f aca="false">J43+L43+I43*Inputs!$C$28*0.5</f>
        <v>6.9465</v>
      </c>
      <c r="U43" s="14" t="n">
        <f aca="false">K43+M43+I43*Inputs!$C$28*0.5</f>
        <v>5.8935</v>
      </c>
      <c r="V43" s="14" t="n">
        <f aca="false">T43*Inputs!$C$36</f>
        <v>4.86255</v>
      </c>
      <c r="W43" s="14" t="n">
        <f aca="false">U43*Inputs!$C$36</f>
        <v>4.12545</v>
      </c>
      <c r="X43" s="14" t="n">
        <f aca="false">V43*Inputs!$C$37</f>
        <v>3.1606575</v>
      </c>
      <c r="Y43" s="14" t="n">
        <f aca="false">W43*Inputs!$C$37</f>
        <v>2.6815425</v>
      </c>
      <c r="Z43" s="14" t="n">
        <f aca="false">R43*Inputs!$C$38</f>
        <v>3</v>
      </c>
      <c r="AA43" s="14" t="n">
        <f aca="false">S43*Inputs!$C$38</f>
        <v>1.5</v>
      </c>
      <c r="AB43" s="13" t="n">
        <f aca="false">ROUND(R43*5+Z43*2+X43*3,0)</f>
        <v>35</v>
      </c>
      <c r="AC43" s="13" t="n">
        <f aca="false">ROUND(S43*5+AA43*2+Y43*3,0)</f>
        <v>21</v>
      </c>
      <c r="AD43" s="13" t="n">
        <f aca="true">IF(RAND()&lt;Inputs!$C$41,1,0)+IF(RAND()&lt;Inputs!$C$41,1,0)</f>
        <v>1</v>
      </c>
      <c r="AE43" s="13" t="n">
        <f aca="true">IF(RAND()&lt;Inputs!$C$42,1,0)+IF(RAND()&lt;Inputs!$C$42,1,0)</f>
        <v>0</v>
      </c>
      <c r="AF43" s="13" t="n">
        <f aca="false">AB43+AC43</f>
        <v>56</v>
      </c>
      <c r="AG43" s="13" t="n">
        <f aca="false">ABS(AB43-AC43)</f>
        <v>14</v>
      </c>
      <c r="AH43" s="13" t="n">
        <f aca="false">R43+S43</f>
        <v>6</v>
      </c>
      <c r="AI43" s="14" t="n">
        <f aca="false">V43+W43</f>
        <v>8.988</v>
      </c>
      <c r="AJ43" s="14" t="n">
        <f aca="false">X43+Y43</f>
        <v>5.8422</v>
      </c>
      <c r="AK43" s="13" t="n">
        <f aca="false">IF(AB43=AC43,1,0)</f>
        <v>0</v>
      </c>
    </row>
    <row r="44" customFormat="false" ht="15" hidden="false" customHeight="false" outlineLevel="0" collapsed="false">
      <c r="A44" s="12" t="n">
        <v>41</v>
      </c>
      <c r="B44" s="13" t="n">
        <f aca="true">ROUND(MAX(30,MIN(95,Inputs!$C$11+(RAND()+RAND()+RAND()-1.5)*Inputs!$C$12*2)),0)</f>
        <v>64</v>
      </c>
      <c r="C44" s="13" t="n">
        <f aca="true">ROUND(MAX(30,MIN(95,Inputs!$C$11+(RAND()+RAND()+RAND()-1.5)*Inputs!$C$12*2)),0)</f>
        <v>45</v>
      </c>
      <c r="D44" s="13" t="n">
        <f aca="true">ROUND(MAX(30,MIN(95,Inputs!$C$13+(RAND()+RAND()+RAND()-1.5)*Inputs!$C$14*2)),0)</f>
        <v>58</v>
      </c>
      <c r="E44" s="13" t="n">
        <f aca="true">ROUND(MAX(30,MIN(95,Inputs!$C$13+(RAND()+RAND()+RAND()-1.5)*Inputs!$C$14*2)),0)</f>
        <v>51</v>
      </c>
      <c r="F44" s="13" t="n">
        <f aca="false">RANDBETWEEN(Inputs!$C$5,Inputs!$C$6)</f>
        <v>70</v>
      </c>
      <c r="G44" s="13" t="n">
        <f aca="false">ROUND(F44*Inputs!$C$7*Inputs!$C$8,0)</f>
        <v>5</v>
      </c>
      <c r="H44" s="13" t="n">
        <f aca="false">ROUND(F44*Inputs!$C$7*(1-Inputs!$C$8),0)</f>
        <v>12</v>
      </c>
      <c r="I44" s="13" t="n">
        <f aca="false">F44-G44-H44</f>
        <v>53</v>
      </c>
      <c r="J44" s="14" t="n">
        <f aca="false">(G44/2)*MAX(0,MIN(1,Inputs!$C$19+(B44-C44)*Inputs!$C$20))</f>
        <v>0.3925</v>
      </c>
      <c r="K44" s="14" t="n">
        <f aca="false">(G44/2)*MAX(0,MIN(1,Inputs!$C$19+(C44-B44)*Inputs!$C$20))</f>
        <v>0.1075</v>
      </c>
      <c r="L44" s="14" t="n">
        <f aca="false">(H44/2)*MAX(0,1-MIN(1,Inputs!$C$23+(C44-B44)*Inputs!$C$24))*0.5</f>
        <v>0.531</v>
      </c>
      <c r="M44" s="14" t="n">
        <f aca="false">(H44/2)*MAX(0,1-MIN(1,Inputs!$C$23+(B44-C44)*Inputs!$C$24))*0.5</f>
        <v>0.189</v>
      </c>
      <c r="N44" s="13" t="n">
        <f aca="false">ROUND(F44*(0.5+(B44-C44)*0.005),0)</f>
        <v>42</v>
      </c>
      <c r="O44" s="13" t="n">
        <f aca="false">F44-N44</f>
        <v>28</v>
      </c>
      <c r="P44" s="14" t="n">
        <f aca="false">N44*MAX(0,MIN(1,Inputs!$C$32+(D44-E44)*Inputs!$C$33))</f>
        <v>11.382</v>
      </c>
      <c r="Q44" s="14" t="n">
        <f aca="false">O44*MAX(0,MIN(1,Inputs!$C$32+(E44-D44)*Inputs!$C$33))</f>
        <v>6.412</v>
      </c>
      <c r="R44" s="13" t="n">
        <f aca="false">ROUND(P44*Inputs!$C$31,0)</f>
        <v>3</v>
      </c>
      <c r="S44" s="13" t="n">
        <f aca="false">ROUND(Q44*Inputs!$C$31,0)</f>
        <v>2</v>
      </c>
      <c r="T44" s="14" t="n">
        <f aca="false">J44+L44+I44*Inputs!$C$28*0.5</f>
        <v>5.6935</v>
      </c>
      <c r="U44" s="14" t="n">
        <f aca="false">K44+M44+I44*Inputs!$C$28*0.5</f>
        <v>5.0665</v>
      </c>
      <c r="V44" s="14" t="n">
        <f aca="false">T44*Inputs!$C$36</f>
        <v>3.98545</v>
      </c>
      <c r="W44" s="14" t="n">
        <f aca="false">U44*Inputs!$C$36</f>
        <v>3.54655</v>
      </c>
      <c r="X44" s="14" t="n">
        <f aca="false">V44*Inputs!$C$37</f>
        <v>2.5905425</v>
      </c>
      <c r="Y44" s="14" t="n">
        <f aca="false">W44*Inputs!$C$37</f>
        <v>2.3052575</v>
      </c>
      <c r="Z44" s="14" t="n">
        <f aca="false">R44*Inputs!$C$38</f>
        <v>2.25</v>
      </c>
      <c r="AA44" s="14" t="n">
        <f aca="false">S44*Inputs!$C$38</f>
        <v>1.5</v>
      </c>
      <c r="AB44" s="13" t="n">
        <f aca="false">ROUND(R44*5+Z44*2+X44*3,0)</f>
        <v>27</v>
      </c>
      <c r="AC44" s="13" t="n">
        <f aca="false">ROUND(S44*5+AA44*2+Y44*3,0)</f>
        <v>20</v>
      </c>
      <c r="AD44" s="13" t="n">
        <f aca="true">IF(RAND()&lt;Inputs!$C$41,1,0)+IF(RAND()&lt;Inputs!$C$41,1,0)</f>
        <v>1</v>
      </c>
      <c r="AE44" s="13" t="n">
        <f aca="true">IF(RAND()&lt;Inputs!$C$42,1,0)+IF(RAND()&lt;Inputs!$C$42,1,0)</f>
        <v>0</v>
      </c>
      <c r="AF44" s="13" t="n">
        <f aca="false">AB44+AC44</f>
        <v>47</v>
      </c>
      <c r="AG44" s="13" t="n">
        <f aca="false">ABS(AB44-AC44)</f>
        <v>7</v>
      </c>
      <c r="AH44" s="13" t="n">
        <f aca="false">R44+S44</f>
        <v>5</v>
      </c>
      <c r="AI44" s="14" t="n">
        <f aca="false">V44+W44</f>
        <v>7.532</v>
      </c>
      <c r="AJ44" s="14" t="n">
        <f aca="false">X44+Y44</f>
        <v>4.8958</v>
      </c>
      <c r="AK44" s="13" t="n">
        <f aca="false">IF(AB44=AC44,1,0)</f>
        <v>0</v>
      </c>
    </row>
    <row r="45" customFormat="false" ht="15" hidden="false" customHeight="false" outlineLevel="0" collapsed="false">
      <c r="A45" s="12" t="n">
        <v>42</v>
      </c>
      <c r="B45" s="13" t="n">
        <f aca="true">ROUND(MAX(30,MIN(95,Inputs!$C$11+(RAND()+RAND()+RAND()-1.5)*Inputs!$C$12*2)),0)</f>
        <v>60</v>
      </c>
      <c r="C45" s="13" t="n">
        <f aca="true">ROUND(MAX(30,MIN(95,Inputs!$C$11+(RAND()+RAND()+RAND()-1.5)*Inputs!$C$12*2)),0)</f>
        <v>59</v>
      </c>
      <c r="D45" s="13" t="n">
        <f aca="true">ROUND(MAX(30,MIN(95,Inputs!$C$13+(RAND()+RAND()+RAND()-1.5)*Inputs!$C$14*2)),0)</f>
        <v>71</v>
      </c>
      <c r="E45" s="13" t="n">
        <f aca="true">ROUND(MAX(30,MIN(95,Inputs!$C$13+(RAND()+RAND()+RAND()-1.5)*Inputs!$C$14*2)),0)</f>
        <v>63</v>
      </c>
      <c r="F45" s="13" t="n">
        <f aca="false">RANDBETWEEN(Inputs!$C$5,Inputs!$C$6)</f>
        <v>82</v>
      </c>
      <c r="G45" s="13" t="n">
        <f aca="false">ROUND(F45*Inputs!$C$7*Inputs!$C$8,0)</f>
        <v>6</v>
      </c>
      <c r="H45" s="13" t="n">
        <f aca="false">ROUND(F45*Inputs!$C$7*(1-Inputs!$C$8),0)</f>
        <v>14</v>
      </c>
      <c r="I45" s="13" t="n">
        <f aca="false">F45-G45-H45</f>
        <v>62</v>
      </c>
      <c r="J45" s="14" t="n">
        <f aca="false">(G45/2)*MAX(0,MIN(1,Inputs!$C$19+(B45-C45)*Inputs!$C$20))</f>
        <v>0.309</v>
      </c>
      <c r="K45" s="14" t="n">
        <f aca="false">(G45/2)*MAX(0,MIN(1,Inputs!$C$19+(C45-B45)*Inputs!$C$20))</f>
        <v>0.291</v>
      </c>
      <c r="L45" s="14" t="n">
        <f aca="false">(H45/2)*MAX(0,1-MIN(1,Inputs!$C$23+(C45-B45)*Inputs!$C$24))*0.5</f>
        <v>0.4305</v>
      </c>
      <c r="M45" s="14" t="n">
        <f aca="false">(H45/2)*MAX(0,1-MIN(1,Inputs!$C$23+(B45-C45)*Inputs!$C$24))*0.5</f>
        <v>0.4095</v>
      </c>
      <c r="N45" s="13" t="n">
        <f aca="false">ROUND(F45*(0.5+(B45-C45)*0.005),0)</f>
        <v>41</v>
      </c>
      <c r="O45" s="13" t="n">
        <f aca="false">F45-N45</f>
        <v>41</v>
      </c>
      <c r="P45" s="14" t="n">
        <f aca="false">N45*MAX(0,MIN(1,Inputs!$C$32+(D45-E45)*Inputs!$C$33))</f>
        <v>11.234</v>
      </c>
      <c r="Q45" s="14" t="n">
        <f aca="false">O45*MAX(0,MIN(1,Inputs!$C$32+(E45-D45)*Inputs!$C$33))</f>
        <v>9.266</v>
      </c>
      <c r="R45" s="13" t="n">
        <f aca="false">ROUND(P45*Inputs!$C$31,0)</f>
        <v>3</v>
      </c>
      <c r="S45" s="13" t="n">
        <f aca="false">ROUND(Q45*Inputs!$C$31,0)</f>
        <v>3</v>
      </c>
      <c r="T45" s="14" t="n">
        <f aca="false">J45+L45+I45*Inputs!$C$28*0.5</f>
        <v>6.3195</v>
      </c>
      <c r="U45" s="14" t="n">
        <f aca="false">K45+M45+I45*Inputs!$C$28*0.5</f>
        <v>6.2805</v>
      </c>
      <c r="V45" s="14" t="n">
        <f aca="false">T45*Inputs!$C$36</f>
        <v>4.42365</v>
      </c>
      <c r="W45" s="14" t="n">
        <f aca="false">U45*Inputs!$C$36</f>
        <v>4.39635</v>
      </c>
      <c r="X45" s="14" t="n">
        <f aca="false">V45*Inputs!$C$37</f>
        <v>2.8753725</v>
      </c>
      <c r="Y45" s="14" t="n">
        <f aca="false">W45*Inputs!$C$37</f>
        <v>2.8576275</v>
      </c>
      <c r="Z45" s="14" t="n">
        <f aca="false">R45*Inputs!$C$38</f>
        <v>2.25</v>
      </c>
      <c r="AA45" s="14" t="n">
        <f aca="false">S45*Inputs!$C$38</f>
        <v>2.25</v>
      </c>
      <c r="AB45" s="13" t="n">
        <f aca="false">ROUND(R45*5+Z45*2+X45*3,0)</f>
        <v>28</v>
      </c>
      <c r="AC45" s="13" t="n">
        <f aca="false">ROUND(S45*5+AA45*2+Y45*3,0)</f>
        <v>28</v>
      </c>
      <c r="AD45" s="13" t="n">
        <f aca="true">IF(RAND()&lt;Inputs!$C$41,1,0)+IF(RAND()&lt;Inputs!$C$41,1,0)</f>
        <v>0</v>
      </c>
      <c r="AE45" s="13" t="n">
        <f aca="true">IF(RAND()&lt;Inputs!$C$42,1,0)+IF(RAND()&lt;Inputs!$C$42,1,0)</f>
        <v>0</v>
      </c>
      <c r="AF45" s="13" t="n">
        <f aca="false">AB45+AC45</f>
        <v>56</v>
      </c>
      <c r="AG45" s="13" t="n">
        <f aca="false">ABS(AB45-AC45)</f>
        <v>0</v>
      </c>
      <c r="AH45" s="13" t="n">
        <f aca="false">R45+S45</f>
        <v>6</v>
      </c>
      <c r="AI45" s="14" t="n">
        <f aca="false">V45+W45</f>
        <v>8.82</v>
      </c>
      <c r="AJ45" s="14" t="n">
        <f aca="false">X45+Y45</f>
        <v>5.733</v>
      </c>
      <c r="AK45" s="13" t="n">
        <f aca="false">IF(AB45=AC45,1,0)</f>
        <v>1</v>
      </c>
    </row>
    <row r="46" customFormat="false" ht="15" hidden="false" customHeight="false" outlineLevel="0" collapsed="false">
      <c r="A46" s="12" t="n">
        <v>43</v>
      </c>
      <c r="B46" s="13" t="n">
        <f aca="true">ROUND(MAX(30,MIN(95,Inputs!$C$11+(RAND()+RAND()+RAND()-1.5)*Inputs!$C$12*2)),0)</f>
        <v>54</v>
      </c>
      <c r="C46" s="13" t="n">
        <f aca="true">ROUND(MAX(30,MIN(95,Inputs!$C$11+(RAND()+RAND()+RAND()-1.5)*Inputs!$C$12*2)),0)</f>
        <v>77</v>
      </c>
      <c r="D46" s="13" t="n">
        <f aca="true">ROUND(MAX(30,MIN(95,Inputs!$C$13+(RAND()+RAND()+RAND()-1.5)*Inputs!$C$14*2)),0)</f>
        <v>65</v>
      </c>
      <c r="E46" s="13" t="n">
        <f aca="true">ROUND(MAX(30,MIN(95,Inputs!$C$13+(RAND()+RAND()+RAND()-1.5)*Inputs!$C$14*2)),0)</f>
        <v>54</v>
      </c>
      <c r="F46" s="13" t="n">
        <f aca="false">RANDBETWEEN(Inputs!$C$5,Inputs!$C$6)</f>
        <v>70</v>
      </c>
      <c r="G46" s="13" t="n">
        <f aca="false">ROUND(F46*Inputs!$C$7*Inputs!$C$8,0)</f>
        <v>5</v>
      </c>
      <c r="H46" s="13" t="n">
        <f aca="false">ROUND(F46*Inputs!$C$7*(1-Inputs!$C$8),0)</f>
        <v>12</v>
      </c>
      <c r="I46" s="13" t="n">
        <f aca="false">F46-G46-H46</f>
        <v>53</v>
      </c>
      <c r="J46" s="14" t="n">
        <f aca="false">(G46/2)*MAX(0,MIN(1,Inputs!$C$19+(B46-C46)*Inputs!$C$20))</f>
        <v>0.0775</v>
      </c>
      <c r="K46" s="14" t="n">
        <f aca="false">(G46/2)*MAX(0,MIN(1,Inputs!$C$19+(C46-B46)*Inputs!$C$20))</f>
        <v>0.4225</v>
      </c>
      <c r="L46" s="14" t="n">
        <f aca="false">(H46/2)*MAX(0,1-MIN(1,Inputs!$C$23+(C46-B46)*Inputs!$C$24))*0.5</f>
        <v>0.153</v>
      </c>
      <c r="M46" s="14" t="n">
        <f aca="false">(H46/2)*MAX(0,1-MIN(1,Inputs!$C$23+(B46-C46)*Inputs!$C$24))*0.5</f>
        <v>0.567</v>
      </c>
      <c r="N46" s="13" t="n">
        <f aca="false">ROUND(F46*(0.5+(B46-C46)*0.005),0)</f>
        <v>27</v>
      </c>
      <c r="O46" s="13" t="n">
        <f aca="false">F46-N46</f>
        <v>43</v>
      </c>
      <c r="P46" s="14" t="n">
        <f aca="false">N46*MAX(0,MIN(1,Inputs!$C$32+(D46-E46)*Inputs!$C$33))</f>
        <v>7.641</v>
      </c>
      <c r="Q46" s="14" t="n">
        <f aca="false">O46*MAX(0,MIN(1,Inputs!$C$32+(E46-D46)*Inputs!$C$33))</f>
        <v>9.331</v>
      </c>
      <c r="R46" s="13" t="n">
        <f aca="false">ROUND(P46*Inputs!$C$31,0)</f>
        <v>2</v>
      </c>
      <c r="S46" s="13" t="n">
        <f aca="false">ROUND(Q46*Inputs!$C$31,0)</f>
        <v>3</v>
      </c>
      <c r="T46" s="14" t="n">
        <f aca="false">J46+L46+I46*Inputs!$C$28*0.5</f>
        <v>5.0005</v>
      </c>
      <c r="U46" s="14" t="n">
        <f aca="false">K46+M46+I46*Inputs!$C$28*0.5</f>
        <v>5.7595</v>
      </c>
      <c r="V46" s="14" t="n">
        <f aca="false">T46*Inputs!$C$36</f>
        <v>3.50035</v>
      </c>
      <c r="W46" s="14" t="n">
        <f aca="false">U46*Inputs!$C$36</f>
        <v>4.03165</v>
      </c>
      <c r="X46" s="14" t="n">
        <f aca="false">V46*Inputs!$C$37</f>
        <v>2.2752275</v>
      </c>
      <c r="Y46" s="14" t="n">
        <f aca="false">W46*Inputs!$C$37</f>
        <v>2.6205725</v>
      </c>
      <c r="Z46" s="14" t="n">
        <f aca="false">R46*Inputs!$C$38</f>
        <v>1.5</v>
      </c>
      <c r="AA46" s="14" t="n">
        <f aca="false">S46*Inputs!$C$38</f>
        <v>2.25</v>
      </c>
      <c r="AB46" s="13" t="n">
        <f aca="false">ROUND(R46*5+Z46*2+X46*3,0)</f>
        <v>20</v>
      </c>
      <c r="AC46" s="13" t="n">
        <f aca="false">ROUND(S46*5+AA46*2+Y46*3,0)</f>
        <v>27</v>
      </c>
      <c r="AD46" s="13" t="n">
        <f aca="true">IF(RAND()&lt;Inputs!$C$41,1,0)+IF(RAND()&lt;Inputs!$C$41,1,0)</f>
        <v>0</v>
      </c>
      <c r="AE46" s="13" t="n">
        <f aca="true">IF(RAND()&lt;Inputs!$C$42,1,0)+IF(RAND()&lt;Inputs!$C$42,1,0)</f>
        <v>0</v>
      </c>
      <c r="AF46" s="13" t="n">
        <f aca="false">AB46+AC46</f>
        <v>47</v>
      </c>
      <c r="AG46" s="13" t="n">
        <f aca="false">ABS(AB46-AC46)</f>
        <v>7</v>
      </c>
      <c r="AH46" s="13" t="n">
        <f aca="false">R46+S46</f>
        <v>5</v>
      </c>
      <c r="AI46" s="14" t="n">
        <f aca="false">V46+W46</f>
        <v>7.532</v>
      </c>
      <c r="AJ46" s="14" t="n">
        <f aca="false">X46+Y46</f>
        <v>4.8958</v>
      </c>
      <c r="AK46" s="13" t="n">
        <f aca="false">IF(AB46=AC46,1,0)</f>
        <v>0</v>
      </c>
    </row>
    <row r="47" customFormat="false" ht="15" hidden="false" customHeight="false" outlineLevel="0" collapsed="false">
      <c r="A47" s="12" t="n">
        <v>44</v>
      </c>
      <c r="B47" s="13" t="n">
        <f aca="true">ROUND(MAX(30,MIN(95,Inputs!$C$11+(RAND()+RAND()+RAND()-1.5)*Inputs!$C$12*2)),0)</f>
        <v>72</v>
      </c>
      <c r="C47" s="13" t="n">
        <f aca="true">ROUND(MAX(30,MIN(95,Inputs!$C$11+(RAND()+RAND()+RAND()-1.5)*Inputs!$C$12*2)),0)</f>
        <v>67</v>
      </c>
      <c r="D47" s="13" t="n">
        <f aca="true">ROUND(MAX(30,MIN(95,Inputs!$C$13+(RAND()+RAND()+RAND()-1.5)*Inputs!$C$14*2)),0)</f>
        <v>56</v>
      </c>
      <c r="E47" s="13" t="n">
        <f aca="true">ROUND(MAX(30,MIN(95,Inputs!$C$13+(RAND()+RAND()+RAND()-1.5)*Inputs!$C$14*2)),0)</f>
        <v>60</v>
      </c>
      <c r="F47" s="13" t="n">
        <f aca="false">RANDBETWEEN(Inputs!$C$5,Inputs!$C$6)</f>
        <v>75</v>
      </c>
      <c r="G47" s="13" t="n">
        <f aca="false">ROUND(F47*Inputs!$C$7*Inputs!$C$8,0)</f>
        <v>6</v>
      </c>
      <c r="H47" s="13" t="n">
        <f aca="false">ROUND(F47*Inputs!$C$7*(1-Inputs!$C$8),0)</f>
        <v>13</v>
      </c>
      <c r="I47" s="13" t="n">
        <f aca="false">F47-G47-H47</f>
        <v>56</v>
      </c>
      <c r="J47" s="14" t="n">
        <f aca="false">(G47/2)*MAX(0,MIN(1,Inputs!$C$19+(B47-C47)*Inputs!$C$20))</f>
        <v>0.345</v>
      </c>
      <c r="K47" s="14" t="n">
        <f aca="false">(G47/2)*MAX(0,MIN(1,Inputs!$C$19+(C47-B47)*Inputs!$C$20))</f>
        <v>0.255</v>
      </c>
      <c r="L47" s="14" t="n">
        <f aca="false">(H47/2)*MAX(0,1-MIN(1,Inputs!$C$23+(C47-B47)*Inputs!$C$24))*0.5</f>
        <v>0.43875</v>
      </c>
      <c r="M47" s="14" t="n">
        <f aca="false">(H47/2)*MAX(0,1-MIN(1,Inputs!$C$23+(B47-C47)*Inputs!$C$24))*0.5</f>
        <v>0.34125</v>
      </c>
      <c r="N47" s="13" t="n">
        <f aca="false">ROUND(F47*(0.5+(B47-C47)*0.005),0)</f>
        <v>39</v>
      </c>
      <c r="O47" s="13" t="n">
        <f aca="false">F47-N47</f>
        <v>36</v>
      </c>
      <c r="P47" s="14" t="n">
        <f aca="false">N47*MAX(0,MIN(1,Inputs!$C$32+(D47-E47)*Inputs!$C$33))</f>
        <v>9.282</v>
      </c>
      <c r="Q47" s="14" t="n">
        <f aca="false">O47*MAX(0,MIN(1,Inputs!$C$32+(E47-D47)*Inputs!$C$33))</f>
        <v>9.432</v>
      </c>
      <c r="R47" s="13" t="n">
        <f aca="false">ROUND(P47*Inputs!$C$31,0)</f>
        <v>3</v>
      </c>
      <c r="S47" s="13" t="n">
        <f aca="false">ROUND(Q47*Inputs!$C$31,0)</f>
        <v>3</v>
      </c>
      <c r="T47" s="14" t="n">
        <f aca="false">J47+L47+I47*Inputs!$C$28*0.5</f>
        <v>5.82375</v>
      </c>
      <c r="U47" s="14" t="n">
        <f aca="false">K47+M47+I47*Inputs!$C$28*0.5</f>
        <v>5.63625</v>
      </c>
      <c r="V47" s="14" t="n">
        <f aca="false">T47*Inputs!$C$36</f>
        <v>4.076625</v>
      </c>
      <c r="W47" s="14" t="n">
        <f aca="false">U47*Inputs!$C$36</f>
        <v>3.945375</v>
      </c>
      <c r="X47" s="14" t="n">
        <f aca="false">V47*Inputs!$C$37</f>
        <v>2.64980625</v>
      </c>
      <c r="Y47" s="14" t="n">
        <f aca="false">W47*Inputs!$C$37</f>
        <v>2.56449375</v>
      </c>
      <c r="Z47" s="14" t="n">
        <f aca="false">R47*Inputs!$C$38</f>
        <v>2.25</v>
      </c>
      <c r="AA47" s="14" t="n">
        <f aca="false">S47*Inputs!$C$38</f>
        <v>2.25</v>
      </c>
      <c r="AB47" s="13" t="n">
        <f aca="false">ROUND(R47*5+Z47*2+X47*3,0)</f>
        <v>27</v>
      </c>
      <c r="AC47" s="13" t="n">
        <f aca="false">ROUND(S47*5+AA47*2+Y47*3,0)</f>
        <v>27</v>
      </c>
      <c r="AD47" s="13" t="n">
        <f aca="true">IF(RAND()&lt;Inputs!$C$41,1,0)+IF(RAND()&lt;Inputs!$C$41,1,0)</f>
        <v>0</v>
      </c>
      <c r="AE47" s="13" t="n">
        <f aca="true">IF(RAND()&lt;Inputs!$C$42,1,0)+IF(RAND()&lt;Inputs!$C$42,1,0)</f>
        <v>0</v>
      </c>
      <c r="AF47" s="13" t="n">
        <f aca="false">AB47+AC47</f>
        <v>54</v>
      </c>
      <c r="AG47" s="13" t="n">
        <f aca="false">ABS(AB47-AC47)</f>
        <v>0</v>
      </c>
      <c r="AH47" s="13" t="n">
        <f aca="false">R47+S47</f>
        <v>6</v>
      </c>
      <c r="AI47" s="14" t="n">
        <f aca="false">V47+W47</f>
        <v>8.022</v>
      </c>
      <c r="AJ47" s="14" t="n">
        <f aca="false">X47+Y47</f>
        <v>5.2143</v>
      </c>
      <c r="AK47" s="13" t="n">
        <f aca="false">IF(AB47=AC47,1,0)</f>
        <v>1</v>
      </c>
    </row>
    <row r="48" customFormat="false" ht="15" hidden="false" customHeight="false" outlineLevel="0" collapsed="false">
      <c r="A48" s="12" t="n">
        <v>45</v>
      </c>
      <c r="B48" s="13" t="n">
        <f aca="true">ROUND(MAX(30,MIN(95,Inputs!$C$11+(RAND()+RAND()+RAND()-1.5)*Inputs!$C$12*2)),0)</f>
        <v>49</v>
      </c>
      <c r="C48" s="13" t="n">
        <f aca="true">ROUND(MAX(30,MIN(95,Inputs!$C$11+(RAND()+RAND()+RAND()-1.5)*Inputs!$C$12*2)),0)</f>
        <v>74</v>
      </c>
      <c r="D48" s="13" t="n">
        <f aca="true">ROUND(MAX(30,MIN(95,Inputs!$C$13+(RAND()+RAND()+RAND()-1.5)*Inputs!$C$14*2)),0)</f>
        <v>79</v>
      </c>
      <c r="E48" s="13" t="n">
        <f aca="true">ROUND(MAX(30,MIN(95,Inputs!$C$13+(RAND()+RAND()+RAND()-1.5)*Inputs!$C$14*2)),0)</f>
        <v>80</v>
      </c>
      <c r="F48" s="13" t="n">
        <f aca="false">RANDBETWEEN(Inputs!$C$5,Inputs!$C$6)</f>
        <v>79</v>
      </c>
      <c r="G48" s="13" t="n">
        <f aca="false">ROUND(F48*Inputs!$C$7*Inputs!$C$8,0)</f>
        <v>6</v>
      </c>
      <c r="H48" s="13" t="n">
        <f aca="false">ROUND(F48*Inputs!$C$7*(1-Inputs!$C$8),0)</f>
        <v>14</v>
      </c>
      <c r="I48" s="13" t="n">
        <f aca="false">F48-G48-H48</f>
        <v>59</v>
      </c>
      <c r="J48" s="14" t="n">
        <f aca="false">(G48/2)*MAX(0,MIN(1,Inputs!$C$19+(B48-C48)*Inputs!$C$20))</f>
        <v>0.075</v>
      </c>
      <c r="K48" s="14" t="n">
        <f aca="false">(G48/2)*MAX(0,MIN(1,Inputs!$C$19+(C48-B48)*Inputs!$C$20))</f>
        <v>0.525</v>
      </c>
      <c r="L48" s="14" t="n">
        <f aca="false">(H48/2)*MAX(0,1-MIN(1,Inputs!$C$23+(C48-B48)*Inputs!$C$24))*0.5</f>
        <v>0.1575</v>
      </c>
      <c r="M48" s="14" t="n">
        <f aca="false">(H48/2)*MAX(0,1-MIN(1,Inputs!$C$23+(B48-C48)*Inputs!$C$24))*0.5</f>
        <v>0.6825</v>
      </c>
      <c r="N48" s="13" t="n">
        <f aca="false">ROUND(F48*(0.5+(B48-C48)*0.005),0)</f>
        <v>30</v>
      </c>
      <c r="O48" s="13" t="n">
        <f aca="false">F48-N48</f>
        <v>49</v>
      </c>
      <c r="P48" s="14" t="n">
        <f aca="false">N48*MAX(0,MIN(1,Inputs!$C$32+(D48-E48)*Inputs!$C$33))</f>
        <v>7.41</v>
      </c>
      <c r="Q48" s="14" t="n">
        <f aca="false">O48*MAX(0,MIN(1,Inputs!$C$32+(E48-D48)*Inputs!$C$33))</f>
        <v>12.397</v>
      </c>
      <c r="R48" s="13" t="n">
        <f aca="false">ROUND(P48*Inputs!$C$31,0)</f>
        <v>2</v>
      </c>
      <c r="S48" s="13" t="n">
        <f aca="false">ROUND(Q48*Inputs!$C$31,0)</f>
        <v>4</v>
      </c>
      <c r="T48" s="14" t="n">
        <f aca="false">J48+L48+I48*Inputs!$C$28*0.5</f>
        <v>5.5425</v>
      </c>
      <c r="U48" s="14" t="n">
        <f aca="false">K48+M48+I48*Inputs!$C$28*0.5</f>
        <v>6.5175</v>
      </c>
      <c r="V48" s="14" t="n">
        <f aca="false">T48*Inputs!$C$36</f>
        <v>3.87975</v>
      </c>
      <c r="W48" s="14" t="n">
        <f aca="false">U48*Inputs!$C$36</f>
        <v>4.56225</v>
      </c>
      <c r="X48" s="14" t="n">
        <f aca="false">V48*Inputs!$C$37</f>
        <v>2.5218375</v>
      </c>
      <c r="Y48" s="14" t="n">
        <f aca="false">W48*Inputs!$C$37</f>
        <v>2.9654625</v>
      </c>
      <c r="Z48" s="14" t="n">
        <f aca="false">R48*Inputs!$C$38</f>
        <v>1.5</v>
      </c>
      <c r="AA48" s="14" t="n">
        <f aca="false">S48*Inputs!$C$38</f>
        <v>3</v>
      </c>
      <c r="AB48" s="13" t="n">
        <f aca="false">ROUND(R48*5+Z48*2+X48*3,0)</f>
        <v>21</v>
      </c>
      <c r="AC48" s="13" t="n">
        <f aca="false">ROUND(S48*5+AA48*2+Y48*3,0)</f>
        <v>35</v>
      </c>
      <c r="AD48" s="13" t="n">
        <f aca="true">IF(RAND()&lt;Inputs!$C$41,1,0)+IF(RAND()&lt;Inputs!$C$41,1,0)</f>
        <v>1</v>
      </c>
      <c r="AE48" s="13" t="n">
        <f aca="true">IF(RAND()&lt;Inputs!$C$42,1,0)+IF(RAND()&lt;Inputs!$C$42,1,0)</f>
        <v>0</v>
      </c>
      <c r="AF48" s="13" t="n">
        <f aca="false">AB48+AC48</f>
        <v>56</v>
      </c>
      <c r="AG48" s="13" t="n">
        <f aca="false">ABS(AB48-AC48)</f>
        <v>14</v>
      </c>
      <c r="AH48" s="13" t="n">
        <f aca="false">R48+S48</f>
        <v>6</v>
      </c>
      <c r="AI48" s="14" t="n">
        <f aca="false">V48+W48</f>
        <v>8.442</v>
      </c>
      <c r="AJ48" s="14" t="n">
        <f aca="false">X48+Y48</f>
        <v>5.4873</v>
      </c>
      <c r="AK48" s="13" t="n">
        <f aca="false">IF(AB48=AC48,1,0)</f>
        <v>0</v>
      </c>
    </row>
    <row r="49" customFormat="false" ht="15" hidden="false" customHeight="false" outlineLevel="0" collapsed="false">
      <c r="A49" s="12" t="n">
        <v>46</v>
      </c>
      <c r="B49" s="13" t="n">
        <f aca="true">ROUND(MAX(30,MIN(95,Inputs!$C$11+(RAND()+RAND()+RAND()-1.5)*Inputs!$C$12*2)),0)</f>
        <v>48</v>
      </c>
      <c r="C49" s="13" t="n">
        <f aca="true">ROUND(MAX(30,MIN(95,Inputs!$C$11+(RAND()+RAND()+RAND()-1.5)*Inputs!$C$12*2)),0)</f>
        <v>73</v>
      </c>
      <c r="D49" s="13" t="n">
        <f aca="true">ROUND(MAX(30,MIN(95,Inputs!$C$13+(RAND()+RAND()+RAND()-1.5)*Inputs!$C$14*2)),0)</f>
        <v>59</v>
      </c>
      <c r="E49" s="13" t="n">
        <f aca="true">ROUND(MAX(30,MIN(95,Inputs!$C$13+(RAND()+RAND()+RAND()-1.5)*Inputs!$C$14*2)),0)</f>
        <v>85</v>
      </c>
      <c r="F49" s="13" t="n">
        <f aca="false">RANDBETWEEN(Inputs!$C$5,Inputs!$C$6)</f>
        <v>79</v>
      </c>
      <c r="G49" s="13" t="n">
        <f aca="false">ROUND(F49*Inputs!$C$7*Inputs!$C$8,0)</f>
        <v>6</v>
      </c>
      <c r="H49" s="13" t="n">
        <f aca="false">ROUND(F49*Inputs!$C$7*(1-Inputs!$C$8),0)</f>
        <v>14</v>
      </c>
      <c r="I49" s="13" t="n">
        <f aca="false">F49-G49-H49</f>
        <v>59</v>
      </c>
      <c r="J49" s="14" t="n">
        <f aca="false">(G49/2)*MAX(0,MIN(1,Inputs!$C$19+(B49-C49)*Inputs!$C$20))</f>
        <v>0.075</v>
      </c>
      <c r="K49" s="14" t="n">
        <f aca="false">(G49/2)*MAX(0,MIN(1,Inputs!$C$19+(C49-B49)*Inputs!$C$20))</f>
        <v>0.525</v>
      </c>
      <c r="L49" s="14" t="n">
        <f aca="false">(H49/2)*MAX(0,1-MIN(1,Inputs!$C$23+(C49-B49)*Inputs!$C$24))*0.5</f>
        <v>0.1575</v>
      </c>
      <c r="M49" s="14" t="n">
        <f aca="false">(H49/2)*MAX(0,1-MIN(1,Inputs!$C$23+(B49-C49)*Inputs!$C$24))*0.5</f>
        <v>0.6825</v>
      </c>
      <c r="N49" s="13" t="n">
        <f aca="false">ROUND(F49*(0.5+(B49-C49)*0.005),0)</f>
        <v>30</v>
      </c>
      <c r="O49" s="13" t="n">
        <f aca="false">F49-N49</f>
        <v>49</v>
      </c>
      <c r="P49" s="14" t="n">
        <f aca="false">N49*MAX(0,MIN(1,Inputs!$C$32+(D49-E49)*Inputs!$C$33))</f>
        <v>5.16</v>
      </c>
      <c r="Q49" s="14" t="n">
        <f aca="false">O49*MAX(0,MIN(1,Inputs!$C$32+(E49-D49)*Inputs!$C$33))</f>
        <v>16.072</v>
      </c>
      <c r="R49" s="13" t="n">
        <f aca="false">ROUND(P49*Inputs!$C$31,0)</f>
        <v>2</v>
      </c>
      <c r="S49" s="13" t="n">
        <f aca="false">ROUND(Q49*Inputs!$C$31,0)</f>
        <v>5</v>
      </c>
      <c r="T49" s="14" t="n">
        <f aca="false">J49+L49+I49*Inputs!$C$28*0.5</f>
        <v>5.5425</v>
      </c>
      <c r="U49" s="14" t="n">
        <f aca="false">K49+M49+I49*Inputs!$C$28*0.5</f>
        <v>6.5175</v>
      </c>
      <c r="V49" s="14" t="n">
        <f aca="false">T49*Inputs!$C$36</f>
        <v>3.87975</v>
      </c>
      <c r="W49" s="14" t="n">
        <f aca="false">U49*Inputs!$C$36</f>
        <v>4.56225</v>
      </c>
      <c r="X49" s="14" t="n">
        <f aca="false">V49*Inputs!$C$37</f>
        <v>2.5218375</v>
      </c>
      <c r="Y49" s="14" t="n">
        <f aca="false">W49*Inputs!$C$37</f>
        <v>2.9654625</v>
      </c>
      <c r="Z49" s="14" t="n">
        <f aca="false">R49*Inputs!$C$38</f>
        <v>1.5</v>
      </c>
      <c r="AA49" s="14" t="n">
        <f aca="false">S49*Inputs!$C$38</f>
        <v>3.75</v>
      </c>
      <c r="AB49" s="13" t="n">
        <f aca="false">ROUND(R49*5+Z49*2+X49*3,0)</f>
        <v>21</v>
      </c>
      <c r="AC49" s="13" t="n">
        <f aca="false">ROUND(S49*5+AA49*2+Y49*3,0)</f>
        <v>41</v>
      </c>
      <c r="AD49" s="13" t="n">
        <f aca="true">IF(RAND()&lt;Inputs!$C$41,1,0)+IF(RAND()&lt;Inputs!$C$41,1,0)</f>
        <v>0</v>
      </c>
      <c r="AE49" s="13" t="n">
        <f aca="true">IF(RAND()&lt;Inputs!$C$42,1,0)+IF(RAND()&lt;Inputs!$C$42,1,0)</f>
        <v>0</v>
      </c>
      <c r="AF49" s="13" t="n">
        <f aca="false">AB49+AC49</f>
        <v>62</v>
      </c>
      <c r="AG49" s="13" t="n">
        <f aca="false">ABS(AB49-AC49)</f>
        <v>20</v>
      </c>
      <c r="AH49" s="13" t="n">
        <f aca="false">R49+S49</f>
        <v>7</v>
      </c>
      <c r="AI49" s="14" t="n">
        <f aca="false">V49+W49</f>
        <v>8.442</v>
      </c>
      <c r="AJ49" s="14" t="n">
        <f aca="false">X49+Y49</f>
        <v>5.4873</v>
      </c>
      <c r="AK49" s="13" t="n">
        <f aca="false">IF(AB49=AC49,1,0)</f>
        <v>0</v>
      </c>
    </row>
    <row r="50" customFormat="false" ht="15" hidden="false" customHeight="false" outlineLevel="0" collapsed="false">
      <c r="A50" s="12" t="n">
        <v>47</v>
      </c>
      <c r="B50" s="13" t="n">
        <f aca="true">ROUND(MAX(30,MIN(95,Inputs!$C$11+(RAND()+RAND()+RAND()-1.5)*Inputs!$C$12*2)),0)</f>
        <v>69</v>
      </c>
      <c r="C50" s="13" t="n">
        <f aca="true">ROUND(MAX(30,MIN(95,Inputs!$C$11+(RAND()+RAND()+RAND()-1.5)*Inputs!$C$12*2)),0)</f>
        <v>78</v>
      </c>
      <c r="D50" s="13" t="n">
        <f aca="true">ROUND(MAX(30,MIN(95,Inputs!$C$13+(RAND()+RAND()+RAND()-1.5)*Inputs!$C$14*2)),0)</f>
        <v>77</v>
      </c>
      <c r="E50" s="13" t="n">
        <f aca="true">ROUND(MAX(30,MIN(95,Inputs!$C$13+(RAND()+RAND()+RAND()-1.5)*Inputs!$C$14*2)),0)</f>
        <v>37</v>
      </c>
      <c r="F50" s="13" t="n">
        <f aca="false">RANDBETWEEN(Inputs!$C$5,Inputs!$C$6)</f>
        <v>81</v>
      </c>
      <c r="G50" s="13" t="n">
        <f aca="false">ROUND(F50*Inputs!$C$7*Inputs!$C$8,0)</f>
        <v>6</v>
      </c>
      <c r="H50" s="13" t="n">
        <f aca="false">ROUND(F50*Inputs!$C$7*(1-Inputs!$C$8),0)</f>
        <v>14</v>
      </c>
      <c r="I50" s="13" t="n">
        <f aca="false">F50-G50-H50</f>
        <v>61</v>
      </c>
      <c r="J50" s="14" t="n">
        <f aca="false">(G50/2)*MAX(0,MIN(1,Inputs!$C$19+(B50-C50)*Inputs!$C$20))</f>
        <v>0.219</v>
      </c>
      <c r="K50" s="14" t="n">
        <f aca="false">(G50/2)*MAX(0,MIN(1,Inputs!$C$19+(C50-B50)*Inputs!$C$20))</f>
        <v>0.381</v>
      </c>
      <c r="L50" s="14" t="n">
        <f aca="false">(H50/2)*MAX(0,1-MIN(1,Inputs!$C$23+(C50-B50)*Inputs!$C$24))*0.5</f>
        <v>0.3255</v>
      </c>
      <c r="M50" s="14" t="n">
        <f aca="false">(H50/2)*MAX(0,1-MIN(1,Inputs!$C$23+(B50-C50)*Inputs!$C$24))*0.5</f>
        <v>0.5145</v>
      </c>
      <c r="N50" s="13" t="n">
        <f aca="false">ROUND(F50*(0.5+(B50-C50)*0.005),0)</f>
        <v>37</v>
      </c>
      <c r="O50" s="13" t="n">
        <f aca="false">F50-N50</f>
        <v>44</v>
      </c>
      <c r="P50" s="14" t="n">
        <f aca="false">N50*MAX(0,MIN(1,Inputs!$C$32+(D50-E50)*Inputs!$C$33))</f>
        <v>13.69</v>
      </c>
      <c r="Q50" s="14" t="n">
        <f aca="false">O50*MAX(0,MIN(1,Inputs!$C$32+(E50-D50)*Inputs!$C$33))</f>
        <v>5.72</v>
      </c>
      <c r="R50" s="13" t="n">
        <f aca="false">ROUND(P50*Inputs!$C$31,0)</f>
        <v>4</v>
      </c>
      <c r="S50" s="13" t="n">
        <f aca="false">ROUND(Q50*Inputs!$C$31,0)</f>
        <v>2</v>
      </c>
      <c r="T50" s="14" t="n">
        <f aca="false">J50+L50+I50*Inputs!$C$28*0.5</f>
        <v>6.0345</v>
      </c>
      <c r="U50" s="14" t="n">
        <f aca="false">K50+M50+I50*Inputs!$C$28*0.5</f>
        <v>6.3855</v>
      </c>
      <c r="V50" s="14" t="n">
        <f aca="false">T50*Inputs!$C$36</f>
        <v>4.22415</v>
      </c>
      <c r="W50" s="14" t="n">
        <f aca="false">U50*Inputs!$C$36</f>
        <v>4.46985</v>
      </c>
      <c r="X50" s="14" t="n">
        <f aca="false">V50*Inputs!$C$37</f>
        <v>2.7456975</v>
      </c>
      <c r="Y50" s="14" t="n">
        <f aca="false">W50*Inputs!$C$37</f>
        <v>2.9054025</v>
      </c>
      <c r="Z50" s="14" t="n">
        <f aca="false">R50*Inputs!$C$38</f>
        <v>3</v>
      </c>
      <c r="AA50" s="14" t="n">
        <f aca="false">S50*Inputs!$C$38</f>
        <v>1.5</v>
      </c>
      <c r="AB50" s="13" t="n">
        <f aca="false">ROUND(R50*5+Z50*2+X50*3,0)</f>
        <v>34</v>
      </c>
      <c r="AC50" s="13" t="n">
        <f aca="false">ROUND(S50*5+AA50*2+Y50*3,0)</f>
        <v>22</v>
      </c>
      <c r="AD50" s="13" t="n">
        <f aca="true">IF(RAND()&lt;Inputs!$C$41,1,0)+IF(RAND()&lt;Inputs!$C$41,1,0)</f>
        <v>0</v>
      </c>
      <c r="AE50" s="13" t="n">
        <f aca="true">IF(RAND()&lt;Inputs!$C$42,1,0)+IF(RAND()&lt;Inputs!$C$42,1,0)</f>
        <v>0</v>
      </c>
      <c r="AF50" s="13" t="n">
        <f aca="false">AB50+AC50</f>
        <v>56</v>
      </c>
      <c r="AG50" s="13" t="n">
        <f aca="false">ABS(AB50-AC50)</f>
        <v>12</v>
      </c>
      <c r="AH50" s="13" t="n">
        <f aca="false">R50+S50</f>
        <v>6</v>
      </c>
      <c r="AI50" s="14" t="n">
        <f aca="false">V50+W50</f>
        <v>8.694</v>
      </c>
      <c r="AJ50" s="14" t="n">
        <f aca="false">X50+Y50</f>
        <v>5.6511</v>
      </c>
      <c r="AK50" s="13" t="n">
        <f aca="false">IF(AB50=AC50,1,0)</f>
        <v>0</v>
      </c>
    </row>
    <row r="51" customFormat="false" ht="15" hidden="false" customHeight="false" outlineLevel="0" collapsed="false">
      <c r="A51" s="12" t="n">
        <v>48</v>
      </c>
      <c r="B51" s="13" t="n">
        <f aca="true">ROUND(MAX(30,MIN(95,Inputs!$C$11+(RAND()+RAND()+RAND()-1.5)*Inputs!$C$12*2)),0)</f>
        <v>64</v>
      </c>
      <c r="C51" s="13" t="n">
        <f aca="true">ROUND(MAX(30,MIN(95,Inputs!$C$11+(RAND()+RAND()+RAND()-1.5)*Inputs!$C$12*2)),0)</f>
        <v>54</v>
      </c>
      <c r="D51" s="13" t="n">
        <f aca="true">ROUND(MAX(30,MIN(95,Inputs!$C$13+(RAND()+RAND()+RAND()-1.5)*Inputs!$C$14*2)),0)</f>
        <v>94</v>
      </c>
      <c r="E51" s="13" t="n">
        <f aca="true">ROUND(MAX(30,MIN(95,Inputs!$C$13+(RAND()+RAND()+RAND()-1.5)*Inputs!$C$14*2)),0)</f>
        <v>56</v>
      </c>
      <c r="F51" s="13" t="n">
        <f aca="false">RANDBETWEEN(Inputs!$C$5,Inputs!$C$6)</f>
        <v>88</v>
      </c>
      <c r="G51" s="13" t="n">
        <f aca="false">ROUND(F51*Inputs!$C$7*Inputs!$C$8,0)</f>
        <v>7</v>
      </c>
      <c r="H51" s="13" t="n">
        <f aca="false">ROUND(F51*Inputs!$C$7*(1-Inputs!$C$8),0)</f>
        <v>15</v>
      </c>
      <c r="I51" s="13" t="n">
        <f aca="false">F51-G51-H51</f>
        <v>66</v>
      </c>
      <c r="J51" s="14" t="n">
        <f aca="false">(G51/2)*MAX(0,MIN(1,Inputs!$C$19+(B51-C51)*Inputs!$C$20))</f>
        <v>0.455</v>
      </c>
      <c r="K51" s="14" t="n">
        <f aca="false">(G51/2)*MAX(0,MIN(1,Inputs!$C$19+(C51-B51)*Inputs!$C$20))</f>
        <v>0.245</v>
      </c>
      <c r="L51" s="14" t="n">
        <f aca="false">(H51/2)*MAX(0,1-MIN(1,Inputs!$C$23+(C51-B51)*Inputs!$C$24))*0.5</f>
        <v>0.5625</v>
      </c>
      <c r="M51" s="14" t="n">
        <f aca="false">(H51/2)*MAX(0,1-MIN(1,Inputs!$C$23+(B51-C51)*Inputs!$C$24))*0.5</f>
        <v>0.3375</v>
      </c>
      <c r="N51" s="13" t="n">
        <f aca="false">ROUND(F51*(0.5+(B51-C51)*0.005),0)</f>
        <v>48</v>
      </c>
      <c r="O51" s="13" t="n">
        <f aca="false">F51-N51</f>
        <v>40</v>
      </c>
      <c r="P51" s="14" t="n">
        <f aca="false">N51*MAX(0,MIN(1,Inputs!$C$32+(D51-E51)*Inputs!$C$33))</f>
        <v>17.472</v>
      </c>
      <c r="Q51" s="14" t="n">
        <f aca="false">O51*MAX(0,MIN(1,Inputs!$C$32+(E51-D51)*Inputs!$C$33))</f>
        <v>5.44</v>
      </c>
      <c r="R51" s="13" t="n">
        <f aca="false">ROUND(P51*Inputs!$C$31,0)</f>
        <v>5</v>
      </c>
      <c r="S51" s="13" t="n">
        <f aca="false">ROUND(Q51*Inputs!$C$31,0)</f>
        <v>2</v>
      </c>
      <c r="T51" s="14" t="n">
        <f aca="false">J51+L51+I51*Inputs!$C$28*0.5</f>
        <v>6.9575</v>
      </c>
      <c r="U51" s="14" t="n">
        <f aca="false">K51+M51+I51*Inputs!$C$28*0.5</f>
        <v>6.5225</v>
      </c>
      <c r="V51" s="14" t="n">
        <f aca="false">T51*Inputs!$C$36</f>
        <v>4.87025</v>
      </c>
      <c r="W51" s="14" t="n">
        <f aca="false">U51*Inputs!$C$36</f>
        <v>4.56575</v>
      </c>
      <c r="X51" s="14" t="n">
        <f aca="false">V51*Inputs!$C$37</f>
        <v>3.1656625</v>
      </c>
      <c r="Y51" s="14" t="n">
        <f aca="false">W51*Inputs!$C$37</f>
        <v>2.9677375</v>
      </c>
      <c r="Z51" s="14" t="n">
        <f aca="false">R51*Inputs!$C$38</f>
        <v>3.75</v>
      </c>
      <c r="AA51" s="14" t="n">
        <f aca="false">S51*Inputs!$C$38</f>
        <v>1.5</v>
      </c>
      <c r="AB51" s="13" t="n">
        <f aca="false">ROUND(R51*5+Z51*2+X51*3,0)</f>
        <v>42</v>
      </c>
      <c r="AC51" s="13" t="n">
        <f aca="false">ROUND(S51*5+AA51*2+Y51*3,0)</f>
        <v>22</v>
      </c>
      <c r="AD51" s="13" t="n">
        <f aca="true">IF(RAND()&lt;Inputs!$C$41,1,0)+IF(RAND()&lt;Inputs!$C$41,1,0)</f>
        <v>0</v>
      </c>
      <c r="AE51" s="13" t="n">
        <f aca="true">IF(RAND()&lt;Inputs!$C$42,1,0)+IF(RAND()&lt;Inputs!$C$42,1,0)</f>
        <v>0</v>
      </c>
      <c r="AF51" s="13" t="n">
        <f aca="false">AB51+AC51</f>
        <v>64</v>
      </c>
      <c r="AG51" s="13" t="n">
        <f aca="false">ABS(AB51-AC51)</f>
        <v>20</v>
      </c>
      <c r="AH51" s="13" t="n">
        <f aca="false">R51+S51</f>
        <v>7</v>
      </c>
      <c r="AI51" s="14" t="n">
        <f aca="false">V51+W51</f>
        <v>9.436</v>
      </c>
      <c r="AJ51" s="14" t="n">
        <f aca="false">X51+Y51</f>
        <v>6.1334</v>
      </c>
      <c r="AK51" s="13" t="n">
        <f aca="false">IF(AB51=AC51,1,0)</f>
        <v>0</v>
      </c>
    </row>
    <row r="52" customFormat="false" ht="15" hidden="false" customHeight="false" outlineLevel="0" collapsed="false">
      <c r="A52" s="12" t="n">
        <v>49</v>
      </c>
      <c r="B52" s="13" t="n">
        <f aca="true">ROUND(MAX(30,MIN(95,Inputs!$C$11+(RAND()+RAND()+RAND()-1.5)*Inputs!$C$12*2)),0)</f>
        <v>82</v>
      </c>
      <c r="C52" s="13" t="n">
        <f aca="true">ROUND(MAX(30,MIN(95,Inputs!$C$11+(RAND()+RAND()+RAND()-1.5)*Inputs!$C$12*2)),0)</f>
        <v>77</v>
      </c>
      <c r="D52" s="13" t="n">
        <f aca="true">ROUND(MAX(30,MIN(95,Inputs!$C$13+(RAND()+RAND()+RAND()-1.5)*Inputs!$C$14*2)),0)</f>
        <v>73</v>
      </c>
      <c r="E52" s="13" t="n">
        <f aca="true">ROUND(MAX(30,MIN(95,Inputs!$C$13+(RAND()+RAND()+RAND()-1.5)*Inputs!$C$14*2)),0)</f>
        <v>72</v>
      </c>
      <c r="F52" s="13" t="n">
        <f aca="false">RANDBETWEEN(Inputs!$C$5,Inputs!$C$6)</f>
        <v>86</v>
      </c>
      <c r="G52" s="13" t="n">
        <f aca="false">ROUND(F52*Inputs!$C$7*Inputs!$C$8,0)</f>
        <v>6</v>
      </c>
      <c r="H52" s="13" t="n">
        <f aca="false">ROUND(F52*Inputs!$C$7*(1-Inputs!$C$8),0)</f>
        <v>15</v>
      </c>
      <c r="I52" s="13" t="n">
        <f aca="false">F52-G52-H52</f>
        <v>65</v>
      </c>
      <c r="J52" s="14" t="n">
        <f aca="false">(G52/2)*MAX(0,MIN(1,Inputs!$C$19+(B52-C52)*Inputs!$C$20))</f>
        <v>0.345</v>
      </c>
      <c r="K52" s="14" t="n">
        <f aca="false">(G52/2)*MAX(0,MIN(1,Inputs!$C$19+(C52-B52)*Inputs!$C$20))</f>
        <v>0.255</v>
      </c>
      <c r="L52" s="14" t="n">
        <f aca="false">(H52/2)*MAX(0,1-MIN(1,Inputs!$C$23+(C52-B52)*Inputs!$C$24))*0.5</f>
        <v>0.50625</v>
      </c>
      <c r="M52" s="14" t="n">
        <f aca="false">(H52/2)*MAX(0,1-MIN(1,Inputs!$C$23+(B52-C52)*Inputs!$C$24))*0.5</f>
        <v>0.39375</v>
      </c>
      <c r="N52" s="13" t="n">
        <f aca="false">ROUND(F52*(0.5+(B52-C52)*0.005),0)</f>
        <v>45</v>
      </c>
      <c r="O52" s="13" t="n">
        <f aca="false">F52-N52</f>
        <v>41</v>
      </c>
      <c r="P52" s="14" t="n">
        <f aca="false">N52*MAX(0,MIN(1,Inputs!$C$32+(D52-E52)*Inputs!$C$33))</f>
        <v>11.385</v>
      </c>
      <c r="Q52" s="14" t="n">
        <f aca="false">O52*MAX(0,MIN(1,Inputs!$C$32+(E52-D52)*Inputs!$C$33))</f>
        <v>10.127</v>
      </c>
      <c r="R52" s="13" t="n">
        <f aca="false">ROUND(P52*Inputs!$C$31,0)</f>
        <v>3</v>
      </c>
      <c r="S52" s="13" t="n">
        <f aca="false">ROUND(Q52*Inputs!$C$31,0)</f>
        <v>3</v>
      </c>
      <c r="T52" s="14" t="n">
        <f aca="false">J52+L52+I52*Inputs!$C$28*0.5</f>
        <v>6.70125</v>
      </c>
      <c r="U52" s="14" t="n">
        <f aca="false">K52+M52+I52*Inputs!$C$28*0.5</f>
        <v>6.49875</v>
      </c>
      <c r="V52" s="14" t="n">
        <f aca="false">T52*Inputs!$C$36</f>
        <v>4.690875</v>
      </c>
      <c r="W52" s="14" t="n">
        <f aca="false">U52*Inputs!$C$36</f>
        <v>4.549125</v>
      </c>
      <c r="X52" s="14" t="n">
        <f aca="false">V52*Inputs!$C$37</f>
        <v>3.04906875</v>
      </c>
      <c r="Y52" s="14" t="n">
        <f aca="false">W52*Inputs!$C$37</f>
        <v>2.95693125</v>
      </c>
      <c r="Z52" s="14" t="n">
        <f aca="false">R52*Inputs!$C$38</f>
        <v>2.25</v>
      </c>
      <c r="AA52" s="14" t="n">
        <f aca="false">S52*Inputs!$C$38</f>
        <v>2.25</v>
      </c>
      <c r="AB52" s="13" t="n">
        <f aca="false">ROUND(R52*5+Z52*2+X52*3,0)</f>
        <v>29</v>
      </c>
      <c r="AC52" s="13" t="n">
        <f aca="false">ROUND(S52*5+AA52*2+Y52*3,0)</f>
        <v>28</v>
      </c>
      <c r="AD52" s="13" t="n">
        <f aca="true">IF(RAND()&lt;Inputs!$C$41,1,0)+IF(RAND()&lt;Inputs!$C$41,1,0)</f>
        <v>1</v>
      </c>
      <c r="AE52" s="13" t="n">
        <f aca="true">IF(RAND()&lt;Inputs!$C$42,1,0)+IF(RAND()&lt;Inputs!$C$42,1,0)</f>
        <v>0</v>
      </c>
      <c r="AF52" s="13" t="n">
        <f aca="false">AB52+AC52</f>
        <v>57</v>
      </c>
      <c r="AG52" s="13" t="n">
        <f aca="false">ABS(AB52-AC52)</f>
        <v>1</v>
      </c>
      <c r="AH52" s="13" t="n">
        <f aca="false">R52+S52</f>
        <v>6</v>
      </c>
      <c r="AI52" s="14" t="n">
        <f aca="false">V52+W52</f>
        <v>9.24</v>
      </c>
      <c r="AJ52" s="14" t="n">
        <f aca="false">X52+Y52</f>
        <v>6.006</v>
      </c>
      <c r="AK52" s="13" t="n">
        <f aca="false">IF(AB52=AC52,1,0)</f>
        <v>0</v>
      </c>
    </row>
    <row r="53" customFormat="false" ht="15" hidden="false" customHeight="false" outlineLevel="0" collapsed="false">
      <c r="A53" s="12" t="n">
        <v>50</v>
      </c>
      <c r="B53" s="13" t="n">
        <f aca="true">ROUND(MAX(30,MIN(95,Inputs!$C$11+(RAND()+RAND()+RAND()-1.5)*Inputs!$C$12*2)),0)</f>
        <v>52</v>
      </c>
      <c r="C53" s="13" t="n">
        <f aca="true">ROUND(MAX(30,MIN(95,Inputs!$C$11+(RAND()+RAND()+RAND()-1.5)*Inputs!$C$12*2)),0)</f>
        <v>69</v>
      </c>
      <c r="D53" s="13" t="n">
        <f aca="true">ROUND(MAX(30,MIN(95,Inputs!$C$13+(RAND()+RAND()+RAND()-1.5)*Inputs!$C$14*2)),0)</f>
        <v>53</v>
      </c>
      <c r="E53" s="13" t="n">
        <f aca="true">ROUND(MAX(30,MIN(95,Inputs!$C$13+(RAND()+RAND()+RAND()-1.5)*Inputs!$C$14*2)),0)</f>
        <v>61</v>
      </c>
      <c r="F53" s="13" t="n">
        <f aca="false">RANDBETWEEN(Inputs!$C$5,Inputs!$C$6)</f>
        <v>81</v>
      </c>
      <c r="G53" s="13" t="n">
        <f aca="false">ROUND(F53*Inputs!$C$7*Inputs!$C$8,0)</f>
        <v>6</v>
      </c>
      <c r="H53" s="13" t="n">
        <f aca="false">ROUND(F53*Inputs!$C$7*(1-Inputs!$C$8),0)</f>
        <v>14</v>
      </c>
      <c r="I53" s="13" t="n">
        <f aca="false">F53-G53-H53</f>
        <v>61</v>
      </c>
      <c r="J53" s="14" t="n">
        <f aca="false">(G53/2)*MAX(0,MIN(1,Inputs!$C$19+(B53-C53)*Inputs!$C$20))</f>
        <v>0.147</v>
      </c>
      <c r="K53" s="14" t="n">
        <f aca="false">(G53/2)*MAX(0,MIN(1,Inputs!$C$19+(C53-B53)*Inputs!$C$20))</f>
        <v>0.453</v>
      </c>
      <c r="L53" s="14" t="n">
        <f aca="false">(H53/2)*MAX(0,1-MIN(1,Inputs!$C$23+(C53-B53)*Inputs!$C$24))*0.5</f>
        <v>0.2415</v>
      </c>
      <c r="M53" s="14" t="n">
        <f aca="false">(H53/2)*MAX(0,1-MIN(1,Inputs!$C$23+(B53-C53)*Inputs!$C$24))*0.5</f>
        <v>0.5985</v>
      </c>
      <c r="N53" s="13" t="n">
        <f aca="false">ROUND(F53*(0.5+(B53-C53)*0.005),0)</f>
        <v>34</v>
      </c>
      <c r="O53" s="13" t="n">
        <f aca="false">F53-N53</f>
        <v>47</v>
      </c>
      <c r="P53" s="14" t="n">
        <f aca="false">N53*MAX(0,MIN(1,Inputs!$C$32+(D53-E53)*Inputs!$C$33))</f>
        <v>7.684</v>
      </c>
      <c r="Q53" s="14" t="n">
        <f aca="false">O53*MAX(0,MIN(1,Inputs!$C$32+(E53-D53)*Inputs!$C$33))</f>
        <v>12.878</v>
      </c>
      <c r="R53" s="13" t="n">
        <f aca="false">ROUND(P53*Inputs!$C$31,0)</f>
        <v>2</v>
      </c>
      <c r="S53" s="13" t="n">
        <f aca="false">ROUND(Q53*Inputs!$C$31,0)</f>
        <v>4</v>
      </c>
      <c r="T53" s="14" t="n">
        <f aca="false">J53+L53+I53*Inputs!$C$28*0.5</f>
        <v>5.8785</v>
      </c>
      <c r="U53" s="14" t="n">
        <f aca="false">K53+M53+I53*Inputs!$C$28*0.5</f>
        <v>6.5415</v>
      </c>
      <c r="V53" s="14" t="n">
        <f aca="false">T53*Inputs!$C$36</f>
        <v>4.11495</v>
      </c>
      <c r="W53" s="14" t="n">
        <f aca="false">U53*Inputs!$C$36</f>
        <v>4.57905</v>
      </c>
      <c r="X53" s="14" t="n">
        <f aca="false">V53*Inputs!$C$37</f>
        <v>2.6747175</v>
      </c>
      <c r="Y53" s="14" t="n">
        <f aca="false">W53*Inputs!$C$37</f>
        <v>2.9763825</v>
      </c>
      <c r="Z53" s="14" t="n">
        <f aca="false">R53*Inputs!$C$38</f>
        <v>1.5</v>
      </c>
      <c r="AA53" s="14" t="n">
        <f aca="false">S53*Inputs!$C$38</f>
        <v>3</v>
      </c>
      <c r="AB53" s="13" t="n">
        <f aca="false">ROUND(R53*5+Z53*2+X53*3,0)</f>
        <v>21</v>
      </c>
      <c r="AC53" s="13" t="n">
        <f aca="false">ROUND(S53*5+AA53*2+Y53*3,0)</f>
        <v>35</v>
      </c>
      <c r="AD53" s="13" t="n">
        <f aca="true">IF(RAND()&lt;Inputs!$C$41,1,0)+IF(RAND()&lt;Inputs!$C$41,1,0)</f>
        <v>1</v>
      </c>
      <c r="AE53" s="13" t="n">
        <f aca="true">IF(RAND()&lt;Inputs!$C$42,1,0)+IF(RAND()&lt;Inputs!$C$42,1,0)</f>
        <v>0</v>
      </c>
      <c r="AF53" s="13" t="n">
        <f aca="false">AB53+AC53</f>
        <v>56</v>
      </c>
      <c r="AG53" s="13" t="n">
        <f aca="false">ABS(AB53-AC53)</f>
        <v>14</v>
      </c>
      <c r="AH53" s="13" t="n">
        <f aca="false">R53+S53</f>
        <v>6</v>
      </c>
      <c r="AI53" s="14" t="n">
        <f aca="false">V53+W53</f>
        <v>8.694</v>
      </c>
      <c r="AJ53" s="14" t="n">
        <f aca="false">X53+Y53</f>
        <v>5.6511</v>
      </c>
      <c r="AK53" s="13" t="n">
        <f aca="false">IF(AB53=AC53,1,0)</f>
        <v>0</v>
      </c>
    </row>
    <row r="54" customFormat="false" ht="15" hidden="false" customHeight="false" outlineLevel="0" collapsed="false">
      <c r="A54" s="12" t="n">
        <v>51</v>
      </c>
      <c r="B54" s="13" t="n">
        <f aca="true">ROUND(MAX(30,MIN(95,Inputs!$C$11+(RAND()+RAND()+RAND()-1.5)*Inputs!$C$12*2)),0)</f>
        <v>64</v>
      </c>
      <c r="C54" s="13" t="n">
        <f aca="true">ROUND(MAX(30,MIN(95,Inputs!$C$11+(RAND()+RAND()+RAND()-1.5)*Inputs!$C$12*2)),0)</f>
        <v>71</v>
      </c>
      <c r="D54" s="13" t="n">
        <f aca="true">ROUND(MAX(30,MIN(95,Inputs!$C$13+(RAND()+RAND()+RAND()-1.5)*Inputs!$C$14*2)),0)</f>
        <v>64</v>
      </c>
      <c r="E54" s="13" t="n">
        <f aca="true">ROUND(MAX(30,MIN(95,Inputs!$C$13+(RAND()+RAND()+RAND()-1.5)*Inputs!$C$14*2)),0)</f>
        <v>67</v>
      </c>
      <c r="F54" s="13" t="n">
        <f aca="false">RANDBETWEEN(Inputs!$C$5,Inputs!$C$6)</f>
        <v>88</v>
      </c>
      <c r="G54" s="13" t="n">
        <f aca="false">ROUND(F54*Inputs!$C$7*Inputs!$C$8,0)</f>
        <v>7</v>
      </c>
      <c r="H54" s="13" t="n">
        <f aca="false">ROUND(F54*Inputs!$C$7*(1-Inputs!$C$8),0)</f>
        <v>15</v>
      </c>
      <c r="I54" s="13" t="n">
        <f aca="false">F54-G54-H54</f>
        <v>66</v>
      </c>
      <c r="J54" s="14" t="n">
        <f aca="false">(G54/2)*MAX(0,MIN(1,Inputs!$C$19+(B54-C54)*Inputs!$C$20))</f>
        <v>0.2765</v>
      </c>
      <c r="K54" s="14" t="n">
        <f aca="false">(G54/2)*MAX(0,MIN(1,Inputs!$C$19+(C54-B54)*Inputs!$C$20))</f>
        <v>0.4235</v>
      </c>
      <c r="L54" s="14" t="n">
        <f aca="false">(H54/2)*MAX(0,1-MIN(1,Inputs!$C$23+(C54-B54)*Inputs!$C$24))*0.5</f>
        <v>0.37125</v>
      </c>
      <c r="M54" s="14" t="n">
        <f aca="false">(H54/2)*MAX(0,1-MIN(1,Inputs!$C$23+(B54-C54)*Inputs!$C$24))*0.5</f>
        <v>0.52875</v>
      </c>
      <c r="N54" s="13" t="n">
        <f aca="false">ROUND(F54*(0.5+(B54-C54)*0.005),0)</f>
        <v>41</v>
      </c>
      <c r="O54" s="13" t="n">
        <f aca="false">F54-N54</f>
        <v>47</v>
      </c>
      <c r="P54" s="14" t="n">
        <f aca="false">N54*MAX(0,MIN(1,Inputs!$C$32+(D54-E54)*Inputs!$C$33))</f>
        <v>9.881</v>
      </c>
      <c r="Q54" s="14" t="n">
        <f aca="false">O54*MAX(0,MIN(1,Inputs!$C$32+(E54-D54)*Inputs!$C$33))</f>
        <v>12.173</v>
      </c>
      <c r="R54" s="13" t="n">
        <f aca="false">ROUND(P54*Inputs!$C$31,0)</f>
        <v>3</v>
      </c>
      <c r="S54" s="13" t="n">
        <f aca="false">ROUND(Q54*Inputs!$C$31,0)</f>
        <v>4</v>
      </c>
      <c r="T54" s="14" t="n">
        <f aca="false">J54+L54+I54*Inputs!$C$28*0.5</f>
        <v>6.58775</v>
      </c>
      <c r="U54" s="14" t="n">
        <f aca="false">K54+M54+I54*Inputs!$C$28*0.5</f>
        <v>6.89225</v>
      </c>
      <c r="V54" s="14" t="n">
        <f aca="false">T54*Inputs!$C$36</f>
        <v>4.611425</v>
      </c>
      <c r="W54" s="14" t="n">
        <f aca="false">U54*Inputs!$C$36</f>
        <v>4.824575</v>
      </c>
      <c r="X54" s="14" t="n">
        <f aca="false">V54*Inputs!$C$37</f>
        <v>2.99742625</v>
      </c>
      <c r="Y54" s="14" t="n">
        <f aca="false">W54*Inputs!$C$37</f>
        <v>3.13597375</v>
      </c>
      <c r="Z54" s="14" t="n">
        <f aca="false">R54*Inputs!$C$38</f>
        <v>2.25</v>
      </c>
      <c r="AA54" s="14" t="n">
        <f aca="false">S54*Inputs!$C$38</f>
        <v>3</v>
      </c>
      <c r="AB54" s="13" t="n">
        <f aca="false">ROUND(R54*5+Z54*2+X54*3,0)</f>
        <v>28</v>
      </c>
      <c r="AC54" s="13" t="n">
        <f aca="false">ROUND(S54*5+AA54*2+Y54*3,0)</f>
        <v>35</v>
      </c>
      <c r="AD54" s="13" t="n">
        <f aca="true">IF(RAND()&lt;Inputs!$C$41,1,0)+IF(RAND()&lt;Inputs!$C$41,1,0)</f>
        <v>0</v>
      </c>
      <c r="AE54" s="13" t="n">
        <f aca="true">IF(RAND()&lt;Inputs!$C$42,1,0)+IF(RAND()&lt;Inputs!$C$42,1,0)</f>
        <v>1</v>
      </c>
      <c r="AF54" s="13" t="n">
        <f aca="false">AB54+AC54</f>
        <v>63</v>
      </c>
      <c r="AG54" s="13" t="n">
        <f aca="false">ABS(AB54-AC54)</f>
        <v>7</v>
      </c>
      <c r="AH54" s="13" t="n">
        <f aca="false">R54+S54</f>
        <v>7</v>
      </c>
      <c r="AI54" s="14" t="n">
        <f aca="false">V54+W54</f>
        <v>9.436</v>
      </c>
      <c r="AJ54" s="14" t="n">
        <f aca="false">X54+Y54</f>
        <v>6.1334</v>
      </c>
      <c r="AK54" s="13" t="n">
        <f aca="false">IF(AB54=AC54,1,0)</f>
        <v>0</v>
      </c>
    </row>
    <row r="55" customFormat="false" ht="15" hidden="false" customHeight="false" outlineLevel="0" collapsed="false">
      <c r="A55" s="12" t="n">
        <v>52</v>
      </c>
      <c r="B55" s="13" t="n">
        <f aca="true">ROUND(MAX(30,MIN(95,Inputs!$C$11+(RAND()+RAND()+RAND()-1.5)*Inputs!$C$12*2)),0)</f>
        <v>61</v>
      </c>
      <c r="C55" s="13" t="n">
        <f aca="true">ROUND(MAX(30,MIN(95,Inputs!$C$11+(RAND()+RAND()+RAND()-1.5)*Inputs!$C$12*2)),0)</f>
        <v>80</v>
      </c>
      <c r="D55" s="13" t="n">
        <f aca="true">ROUND(MAX(30,MIN(95,Inputs!$C$13+(RAND()+RAND()+RAND()-1.5)*Inputs!$C$14*2)),0)</f>
        <v>65</v>
      </c>
      <c r="E55" s="13" t="n">
        <f aca="true">ROUND(MAX(30,MIN(95,Inputs!$C$13+(RAND()+RAND()+RAND()-1.5)*Inputs!$C$14*2)),0)</f>
        <v>49</v>
      </c>
      <c r="F55" s="13" t="n">
        <f aca="false">RANDBETWEEN(Inputs!$C$5,Inputs!$C$6)</f>
        <v>82</v>
      </c>
      <c r="G55" s="13" t="n">
        <f aca="false">ROUND(F55*Inputs!$C$7*Inputs!$C$8,0)</f>
        <v>6</v>
      </c>
      <c r="H55" s="13" t="n">
        <f aca="false">ROUND(F55*Inputs!$C$7*(1-Inputs!$C$8),0)</f>
        <v>14</v>
      </c>
      <c r="I55" s="13" t="n">
        <f aca="false">F55-G55-H55</f>
        <v>62</v>
      </c>
      <c r="J55" s="14" t="n">
        <f aca="false">(G55/2)*MAX(0,MIN(1,Inputs!$C$19+(B55-C55)*Inputs!$C$20))</f>
        <v>0.129</v>
      </c>
      <c r="K55" s="14" t="n">
        <f aca="false">(G55/2)*MAX(0,MIN(1,Inputs!$C$19+(C55-B55)*Inputs!$C$20))</f>
        <v>0.471</v>
      </c>
      <c r="L55" s="14" t="n">
        <f aca="false">(H55/2)*MAX(0,1-MIN(1,Inputs!$C$23+(C55-B55)*Inputs!$C$24))*0.5</f>
        <v>0.2205</v>
      </c>
      <c r="M55" s="14" t="n">
        <f aca="false">(H55/2)*MAX(0,1-MIN(1,Inputs!$C$23+(B55-C55)*Inputs!$C$24))*0.5</f>
        <v>0.6195</v>
      </c>
      <c r="N55" s="13" t="n">
        <f aca="false">ROUND(F55*(0.5+(B55-C55)*0.005),0)</f>
        <v>33</v>
      </c>
      <c r="O55" s="13" t="n">
        <f aca="false">F55-N55</f>
        <v>49</v>
      </c>
      <c r="P55" s="14" t="n">
        <f aca="false">N55*MAX(0,MIN(1,Inputs!$C$32+(D55-E55)*Inputs!$C$33))</f>
        <v>9.834</v>
      </c>
      <c r="Q55" s="14" t="n">
        <f aca="false">O55*MAX(0,MIN(1,Inputs!$C$32+(E55-D55)*Inputs!$C$33))</f>
        <v>9.898</v>
      </c>
      <c r="R55" s="13" t="n">
        <f aca="false">ROUND(P55*Inputs!$C$31,0)</f>
        <v>3</v>
      </c>
      <c r="S55" s="13" t="n">
        <f aca="false">ROUND(Q55*Inputs!$C$31,0)</f>
        <v>3</v>
      </c>
      <c r="T55" s="14" t="n">
        <f aca="false">J55+L55+I55*Inputs!$C$28*0.5</f>
        <v>5.9295</v>
      </c>
      <c r="U55" s="14" t="n">
        <f aca="false">K55+M55+I55*Inputs!$C$28*0.5</f>
        <v>6.6705</v>
      </c>
      <c r="V55" s="14" t="n">
        <f aca="false">T55*Inputs!$C$36</f>
        <v>4.15065</v>
      </c>
      <c r="W55" s="14" t="n">
        <f aca="false">U55*Inputs!$C$36</f>
        <v>4.66935</v>
      </c>
      <c r="X55" s="14" t="n">
        <f aca="false">V55*Inputs!$C$37</f>
        <v>2.6979225</v>
      </c>
      <c r="Y55" s="14" t="n">
        <f aca="false">W55*Inputs!$C$37</f>
        <v>3.0350775</v>
      </c>
      <c r="Z55" s="14" t="n">
        <f aca="false">R55*Inputs!$C$38</f>
        <v>2.25</v>
      </c>
      <c r="AA55" s="14" t="n">
        <f aca="false">S55*Inputs!$C$38</f>
        <v>2.25</v>
      </c>
      <c r="AB55" s="13" t="n">
        <f aca="false">ROUND(R55*5+Z55*2+X55*3,0)</f>
        <v>28</v>
      </c>
      <c r="AC55" s="13" t="n">
        <f aca="false">ROUND(S55*5+AA55*2+Y55*3,0)</f>
        <v>29</v>
      </c>
      <c r="AD55" s="13" t="n">
        <f aca="true">IF(RAND()&lt;Inputs!$C$41,1,0)+IF(RAND()&lt;Inputs!$C$41,1,0)</f>
        <v>0</v>
      </c>
      <c r="AE55" s="13" t="n">
        <f aca="true">IF(RAND()&lt;Inputs!$C$42,1,0)+IF(RAND()&lt;Inputs!$C$42,1,0)</f>
        <v>0</v>
      </c>
      <c r="AF55" s="13" t="n">
        <f aca="false">AB55+AC55</f>
        <v>57</v>
      </c>
      <c r="AG55" s="13" t="n">
        <f aca="false">ABS(AB55-AC55)</f>
        <v>1</v>
      </c>
      <c r="AH55" s="13" t="n">
        <f aca="false">R55+S55</f>
        <v>6</v>
      </c>
      <c r="AI55" s="14" t="n">
        <f aca="false">V55+W55</f>
        <v>8.82</v>
      </c>
      <c r="AJ55" s="14" t="n">
        <f aca="false">X55+Y55</f>
        <v>5.733</v>
      </c>
      <c r="AK55" s="13" t="n">
        <f aca="false">IF(AB55=AC55,1,0)</f>
        <v>0</v>
      </c>
    </row>
    <row r="56" customFormat="false" ht="15" hidden="false" customHeight="false" outlineLevel="0" collapsed="false">
      <c r="A56" s="12" t="n">
        <v>53</v>
      </c>
      <c r="B56" s="13" t="n">
        <f aca="true">ROUND(MAX(30,MIN(95,Inputs!$C$11+(RAND()+RAND()+RAND()-1.5)*Inputs!$C$12*2)),0)</f>
        <v>47</v>
      </c>
      <c r="C56" s="13" t="n">
        <f aca="true">ROUND(MAX(30,MIN(95,Inputs!$C$11+(RAND()+RAND()+RAND()-1.5)*Inputs!$C$12*2)),0)</f>
        <v>57</v>
      </c>
      <c r="D56" s="13" t="n">
        <f aca="true">ROUND(MAX(30,MIN(95,Inputs!$C$13+(RAND()+RAND()+RAND()-1.5)*Inputs!$C$14*2)),0)</f>
        <v>55</v>
      </c>
      <c r="E56" s="13" t="n">
        <f aca="true">ROUND(MAX(30,MIN(95,Inputs!$C$13+(RAND()+RAND()+RAND()-1.5)*Inputs!$C$14*2)),0)</f>
        <v>58</v>
      </c>
      <c r="F56" s="13" t="n">
        <f aca="false">RANDBETWEEN(Inputs!$C$5,Inputs!$C$6)</f>
        <v>86</v>
      </c>
      <c r="G56" s="13" t="n">
        <f aca="false">ROUND(F56*Inputs!$C$7*Inputs!$C$8,0)</f>
        <v>6</v>
      </c>
      <c r="H56" s="13" t="n">
        <f aca="false">ROUND(F56*Inputs!$C$7*(1-Inputs!$C$8),0)</f>
        <v>15</v>
      </c>
      <c r="I56" s="13" t="n">
        <f aca="false">F56-G56-H56</f>
        <v>65</v>
      </c>
      <c r="J56" s="14" t="n">
        <f aca="false">(G56/2)*MAX(0,MIN(1,Inputs!$C$19+(B56-C56)*Inputs!$C$20))</f>
        <v>0.21</v>
      </c>
      <c r="K56" s="14" t="n">
        <f aca="false">(G56/2)*MAX(0,MIN(1,Inputs!$C$19+(C56-B56)*Inputs!$C$20))</f>
        <v>0.39</v>
      </c>
      <c r="L56" s="14" t="n">
        <f aca="false">(H56/2)*MAX(0,1-MIN(1,Inputs!$C$23+(C56-B56)*Inputs!$C$24))*0.5</f>
        <v>0.3375</v>
      </c>
      <c r="M56" s="14" t="n">
        <f aca="false">(H56/2)*MAX(0,1-MIN(1,Inputs!$C$23+(B56-C56)*Inputs!$C$24))*0.5</f>
        <v>0.5625</v>
      </c>
      <c r="N56" s="13" t="n">
        <f aca="false">ROUND(F56*(0.5+(B56-C56)*0.005),0)</f>
        <v>39</v>
      </c>
      <c r="O56" s="13" t="n">
        <f aca="false">F56-N56</f>
        <v>47</v>
      </c>
      <c r="P56" s="14" t="n">
        <f aca="false">N56*MAX(0,MIN(1,Inputs!$C$32+(D56-E56)*Inputs!$C$33))</f>
        <v>9.399</v>
      </c>
      <c r="Q56" s="14" t="n">
        <f aca="false">O56*MAX(0,MIN(1,Inputs!$C$32+(E56-D56)*Inputs!$C$33))</f>
        <v>12.173</v>
      </c>
      <c r="R56" s="13" t="n">
        <f aca="false">ROUND(P56*Inputs!$C$31,0)</f>
        <v>3</v>
      </c>
      <c r="S56" s="13" t="n">
        <f aca="false">ROUND(Q56*Inputs!$C$31,0)</f>
        <v>4</v>
      </c>
      <c r="T56" s="14" t="n">
        <f aca="false">J56+L56+I56*Inputs!$C$28*0.5</f>
        <v>6.3975</v>
      </c>
      <c r="U56" s="14" t="n">
        <f aca="false">K56+M56+I56*Inputs!$C$28*0.5</f>
        <v>6.8025</v>
      </c>
      <c r="V56" s="14" t="n">
        <f aca="false">T56*Inputs!$C$36</f>
        <v>4.47825</v>
      </c>
      <c r="W56" s="14" t="n">
        <f aca="false">U56*Inputs!$C$36</f>
        <v>4.76175</v>
      </c>
      <c r="X56" s="14" t="n">
        <f aca="false">V56*Inputs!$C$37</f>
        <v>2.9108625</v>
      </c>
      <c r="Y56" s="14" t="n">
        <f aca="false">W56*Inputs!$C$37</f>
        <v>3.0951375</v>
      </c>
      <c r="Z56" s="14" t="n">
        <f aca="false">R56*Inputs!$C$38</f>
        <v>2.25</v>
      </c>
      <c r="AA56" s="14" t="n">
        <f aca="false">S56*Inputs!$C$38</f>
        <v>3</v>
      </c>
      <c r="AB56" s="13" t="n">
        <f aca="false">ROUND(R56*5+Z56*2+X56*3,0)</f>
        <v>28</v>
      </c>
      <c r="AC56" s="13" t="n">
        <f aca="false">ROUND(S56*5+AA56*2+Y56*3,0)</f>
        <v>35</v>
      </c>
      <c r="AD56" s="13" t="n">
        <f aca="true">IF(RAND()&lt;Inputs!$C$41,1,0)+IF(RAND()&lt;Inputs!$C$41,1,0)</f>
        <v>0</v>
      </c>
      <c r="AE56" s="13" t="n">
        <f aca="true">IF(RAND()&lt;Inputs!$C$42,1,0)+IF(RAND()&lt;Inputs!$C$42,1,0)</f>
        <v>0</v>
      </c>
      <c r="AF56" s="13" t="n">
        <f aca="false">AB56+AC56</f>
        <v>63</v>
      </c>
      <c r="AG56" s="13" t="n">
        <f aca="false">ABS(AB56-AC56)</f>
        <v>7</v>
      </c>
      <c r="AH56" s="13" t="n">
        <f aca="false">R56+S56</f>
        <v>7</v>
      </c>
      <c r="AI56" s="14" t="n">
        <f aca="false">V56+W56</f>
        <v>9.24</v>
      </c>
      <c r="AJ56" s="14" t="n">
        <f aca="false">X56+Y56</f>
        <v>6.006</v>
      </c>
      <c r="AK56" s="13" t="n">
        <f aca="false">IF(AB56=AC56,1,0)</f>
        <v>0</v>
      </c>
    </row>
    <row r="57" customFormat="false" ht="15" hidden="false" customHeight="false" outlineLevel="0" collapsed="false">
      <c r="A57" s="12" t="n">
        <v>54</v>
      </c>
      <c r="B57" s="13" t="n">
        <f aca="true">ROUND(MAX(30,MIN(95,Inputs!$C$11+(RAND()+RAND()+RAND()-1.5)*Inputs!$C$12*2)),0)</f>
        <v>60</v>
      </c>
      <c r="C57" s="13" t="n">
        <f aca="true">ROUND(MAX(30,MIN(95,Inputs!$C$11+(RAND()+RAND()+RAND()-1.5)*Inputs!$C$12*2)),0)</f>
        <v>55</v>
      </c>
      <c r="D57" s="13" t="n">
        <f aca="true">ROUND(MAX(30,MIN(95,Inputs!$C$13+(RAND()+RAND()+RAND()-1.5)*Inputs!$C$14*2)),0)</f>
        <v>69</v>
      </c>
      <c r="E57" s="13" t="n">
        <f aca="true">ROUND(MAX(30,MIN(95,Inputs!$C$13+(RAND()+RAND()+RAND()-1.5)*Inputs!$C$14*2)),0)</f>
        <v>75</v>
      </c>
      <c r="F57" s="13" t="n">
        <f aca="false">RANDBETWEEN(Inputs!$C$5,Inputs!$C$6)</f>
        <v>65</v>
      </c>
      <c r="G57" s="13" t="n">
        <f aca="false">ROUND(F57*Inputs!$C$7*Inputs!$C$8,0)</f>
        <v>5</v>
      </c>
      <c r="H57" s="13" t="n">
        <f aca="false">ROUND(F57*Inputs!$C$7*(1-Inputs!$C$8),0)</f>
        <v>11</v>
      </c>
      <c r="I57" s="13" t="n">
        <f aca="false">F57-G57-H57</f>
        <v>49</v>
      </c>
      <c r="J57" s="14" t="n">
        <f aca="false">(G57/2)*MAX(0,MIN(1,Inputs!$C$19+(B57-C57)*Inputs!$C$20))</f>
        <v>0.2875</v>
      </c>
      <c r="K57" s="14" t="n">
        <f aca="false">(G57/2)*MAX(0,MIN(1,Inputs!$C$19+(C57-B57)*Inputs!$C$20))</f>
        <v>0.2125</v>
      </c>
      <c r="L57" s="14" t="n">
        <f aca="false">(H57/2)*MAX(0,1-MIN(1,Inputs!$C$23+(C57-B57)*Inputs!$C$24))*0.5</f>
        <v>0.37125</v>
      </c>
      <c r="M57" s="14" t="n">
        <f aca="false">(H57/2)*MAX(0,1-MIN(1,Inputs!$C$23+(B57-C57)*Inputs!$C$24))*0.5</f>
        <v>0.28875</v>
      </c>
      <c r="N57" s="13" t="n">
        <f aca="false">ROUND(F57*(0.5+(B57-C57)*0.005),0)</f>
        <v>34</v>
      </c>
      <c r="O57" s="13" t="n">
        <f aca="false">F57-N57</f>
        <v>31</v>
      </c>
      <c r="P57" s="14" t="n">
        <f aca="false">N57*MAX(0,MIN(1,Inputs!$C$32+(D57-E57)*Inputs!$C$33))</f>
        <v>7.888</v>
      </c>
      <c r="Q57" s="14" t="n">
        <f aca="false">O57*MAX(0,MIN(1,Inputs!$C$32+(E57-D57)*Inputs!$C$33))</f>
        <v>8.308</v>
      </c>
      <c r="R57" s="13" t="n">
        <f aca="false">ROUND(P57*Inputs!$C$31,0)</f>
        <v>2</v>
      </c>
      <c r="S57" s="13" t="n">
        <f aca="false">ROUND(Q57*Inputs!$C$31,0)</f>
        <v>2</v>
      </c>
      <c r="T57" s="14" t="n">
        <f aca="false">J57+L57+I57*Inputs!$C$28*0.5</f>
        <v>5.06875</v>
      </c>
      <c r="U57" s="14" t="n">
        <f aca="false">K57+M57+I57*Inputs!$C$28*0.5</f>
        <v>4.91125</v>
      </c>
      <c r="V57" s="14" t="n">
        <f aca="false">T57*Inputs!$C$36</f>
        <v>3.548125</v>
      </c>
      <c r="W57" s="14" t="n">
        <f aca="false">U57*Inputs!$C$36</f>
        <v>3.437875</v>
      </c>
      <c r="X57" s="14" t="n">
        <f aca="false">V57*Inputs!$C$37</f>
        <v>2.30628125</v>
      </c>
      <c r="Y57" s="14" t="n">
        <f aca="false">W57*Inputs!$C$37</f>
        <v>2.23461875</v>
      </c>
      <c r="Z57" s="14" t="n">
        <f aca="false">R57*Inputs!$C$38</f>
        <v>1.5</v>
      </c>
      <c r="AA57" s="14" t="n">
        <f aca="false">S57*Inputs!$C$38</f>
        <v>1.5</v>
      </c>
      <c r="AB57" s="13" t="n">
        <f aca="false">ROUND(R57*5+Z57*2+X57*3,0)</f>
        <v>20</v>
      </c>
      <c r="AC57" s="13" t="n">
        <f aca="false">ROUND(S57*5+AA57*2+Y57*3,0)</f>
        <v>20</v>
      </c>
      <c r="AD57" s="13" t="n">
        <f aca="true">IF(RAND()&lt;Inputs!$C$41,1,0)+IF(RAND()&lt;Inputs!$C$41,1,0)</f>
        <v>0</v>
      </c>
      <c r="AE57" s="13" t="n">
        <f aca="true">IF(RAND()&lt;Inputs!$C$42,1,0)+IF(RAND()&lt;Inputs!$C$42,1,0)</f>
        <v>0</v>
      </c>
      <c r="AF57" s="13" t="n">
        <f aca="false">AB57+AC57</f>
        <v>40</v>
      </c>
      <c r="AG57" s="13" t="n">
        <f aca="false">ABS(AB57-AC57)</f>
        <v>0</v>
      </c>
      <c r="AH57" s="13" t="n">
        <f aca="false">R57+S57</f>
        <v>4</v>
      </c>
      <c r="AI57" s="14" t="n">
        <f aca="false">V57+W57</f>
        <v>6.986</v>
      </c>
      <c r="AJ57" s="14" t="n">
        <f aca="false">X57+Y57</f>
        <v>4.5409</v>
      </c>
      <c r="AK57" s="13" t="n">
        <f aca="false">IF(AB57=AC57,1,0)</f>
        <v>1</v>
      </c>
    </row>
    <row r="58" customFormat="false" ht="15" hidden="false" customHeight="false" outlineLevel="0" collapsed="false">
      <c r="A58" s="12" t="n">
        <v>55</v>
      </c>
      <c r="B58" s="13" t="n">
        <f aca="true">ROUND(MAX(30,MIN(95,Inputs!$C$11+(RAND()+RAND()+RAND()-1.5)*Inputs!$C$12*2)),0)</f>
        <v>75</v>
      </c>
      <c r="C58" s="13" t="n">
        <f aca="true">ROUND(MAX(30,MIN(95,Inputs!$C$11+(RAND()+RAND()+RAND()-1.5)*Inputs!$C$12*2)),0)</f>
        <v>71</v>
      </c>
      <c r="D58" s="13" t="n">
        <f aca="true">ROUND(MAX(30,MIN(95,Inputs!$C$13+(RAND()+RAND()+RAND()-1.5)*Inputs!$C$14*2)),0)</f>
        <v>57</v>
      </c>
      <c r="E58" s="13" t="n">
        <f aca="true">ROUND(MAX(30,MIN(95,Inputs!$C$13+(RAND()+RAND()+RAND()-1.5)*Inputs!$C$14*2)),0)</f>
        <v>74</v>
      </c>
      <c r="F58" s="13" t="n">
        <f aca="false">RANDBETWEEN(Inputs!$C$5,Inputs!$C$6)</f>
        <v>90</v>
      </c>
      <c r="G58" s="13" t="n">
        <f aca="false">ROUND(F58*Inputs!$C$7*Inputs!$C$8,0)</f>
        <v>7</v>
      </c>
      <c r="H58" s="13" t="n">
        <f aca="false">ROUND(F58*Inputs!$C$7*(1-Inputs!$C$8),0)</f>
        <v>16</v>
      </c>
      <c r="I58" s="13" t="n">
        <f aca="false">F58-G58-H58</f>
        <v>67</v>
      </c>
      <c r="J58" s="14" t="n">
        <f aca="false">(G58/2)*MAX(0,MIN(1,Inputs!$C$19+(B58-C58)*Inputs!$C$20))</f>
        <v>0.392</v>
      </c>
      <c r="K58" s="14" t="n">
        <f aca="false">(G58/2)*MAX(0,MIN(1,Inputs!$C$19+(C58-B58)*Inputs!$C$20))</f>
        <v>0.308</v>
      </c>
      <c r="L58" s="14" t="n">
        <f aca="false">(H58/2)*MAX(0,1-MIN(1,Inputs!$C$23+(C58-B58)*Inputs!$C$24))*0.5</f>
        <v>0.528</v>
      </c>
      <c r="M58" s="14" t="n">
        <f aca="false">(H58/2)*MAX(0,1-MIN(1,Inputs!$C$23+(B58-C58)*Inputs!$C$24))*0.5</f>
        <v>0.432</v>
      </c>
      <c r="N58" s="13" t="n">
        <f aca="false">ROUND(F58*(0.5+(B58-C58)*0.005),0)</f>
        <v>47</v>
      </c>
      <c r="O58" s="13" t="n">
        <f aca="false">F58-N58</f>
        <v>43</v>
      </c>
      <c r="P58" s="14" t="n">
        <f aca="false">N58*MAX(0,MIN(1,Inputs!$C$32+(D58-E58)*Inputs!$C$33))</f>
        <v>9.353</v>
      </c>
      <c r="Q58" s="14" t="n">
        <f aca="false">O58*MAX(0,MIN(1,Inputs!$C$32+(E58-D58)*Inputs!$C$33))</f>
        <v>12.943</v>
      </c>
      <c r="R58" s="13" t="n">
        <f aca="false">ROUND(P58*Inputs!$C$31,0)</f>
        <v>3</v>
      </c>
      <c r="S58" s="13" t="n">
        <f aca="false">ROUND(Q58*Inputs!$C$31,0)</f>
        <v>4</v>
      </c>
      <c r="T58" s="14" t="n">
        <f aca="false">J58+L58+I58*Inputs!$C$28*0.5</f>
        <v>6.95</v>
      </c>
      <c r="U58" s="14" t="n">
        <f aca="false">K58+M58+I58*Inputs!$C$28*0.5</f>
        <v>6.77</v>
      </c>
      <c r="V58" s="14" t="n">
        <f aca="false">T58*Inputs!$C$36</f>
        <v>4.865</v>
      </c>
      <c r="W58" s="14" t="n">
        <f aca="false">U58*Inputs!$C$36</f>
        <v>4.739</v>
      </c>
      <c r="X58" s="14" t="n">
        <f aca="false">V58*Inputs!$C$37</f>
        <v>3.16225</v>
      </c>
      <c r="Y58" s="14" t="n">
        <f aca="false">W58*Inputs!$C$37</f>
        <v>3.08035</v>
      </c>
      <c r="Z58" s="14" t="n">
        <f aca="false">R58*Inputs!$C$38</f>
        <v>2.25</v>
      </c>
      <c r="AA58" s="14" t="n">
        <f aca="false">S58*Inputs!$C$38</f>
        <v>3</v>
      </c>
      <c r="AB58" s="13" t="n">
        <f aca="false">ROUND(R58*5+Z58*2+X58*3,0)</f>
        <v>29</v>
      </c>
      <c r="AC58" s="13" t="n">
        <f aca="false">ROUND(S58*5+AA58*2+Y58*3,0)</f>
        <v>35</v>
      </c>
      <c r="AD58" s="13" t="n">
        <f aca="true">IF(RAND()&lt;Inputs!$C$41,1,0)+IF(RAND()&lt;Inputs!$C$41,1,0)</f>
        <v>1</v>
      </c>
      <c r="AE58" s="13" t="n">
        <f aca="true">IF(RAND()&lt;Inputs!$C$42,1,0)+IF(RAND()&lt;Inputs!$C$42,1,0)</f>
        <v>0</v>
      </c>
      <c r="AF58" s="13" t="n">
        <f aca="false">AB58+AC58</f>
        <v>64</v>
      </c>
      <c r="AG58" s="13" t="n">
        <f aca="false">ABS(AB58-AC58)</f>
        <v>6</v>
      </c>
      <c r="AH58" s="13" t="n">
        <f aca="false">R58+S58</f>
        <v>7</v>
      </c>
      <c r="AI58" s="14" t="n">
        <f aca="false">V58+W58</f>
        <v>9.604</v>
      </c>
      <c r="AJ58" s="14" t="n">
        <f aca="false">X58+Y58</f>
        <v>6.2426</v>
      </c>
      <c r="AK58" s="13" t="n">
        <f aca="false">IF(AB58=AC58,1,0)</f>
        <v>0</v>
      </c>
    </row>
    <row r="59" customFormat="false" ht="15" hidden="false" customHeight="false" outlineLevel="0" collapsed="false">
      <c r="A59" s="12" t="n">
        <v>56</v>
      </c>
      <c r="B59" s="13" t="n">
        <f aca="true">ROUND(MAX(30,MIN(95,Inputs!$C$11+(RAND()+RAND()+RAND()-1.5)*Inputs!$C$12*2)),0)</f>
        <v>56</v>
      </c>
      <c r="C59" s="13" t="n">
        <f aca="true">ROUND(MAX(30,MIN(95,Inputs!$C$11+(RAND()+RAND()+RAND()-1.5)*Inputs!$C$12*2)),0)</f>
        <v>56</v>
      </c>
      <c r="D59" s="13" t="n">
        <f aca="true">ROUND(MAX(30,MIN(95,Inputs!$C$13+(RAND()+RAND()+RAND()-1.5)*Inputs!$C$14*2)),0)</f>
        <v>63</v>
      </c>
      <c r="E59" s="13" t="n">
        <f aca="true">ROUND(MAX(30,MIN(95,Inputs!$C$13+(RAND()+RAND()+RAND()-1.5)*Inputs!$C$14*2)),0)</f>
        <v>79</v>
      </c>
      <c r="F59" s="13" t="n">
        <f aca="false">RANDBETWEEN(Inputs!$C$5,Inputs!$C$6)</f>
        <v>82</v>
      </c>
      <c r="G59" s="13" t="n">
        <f aca="false">ROUND(F59*Inputs!$C$7*Inputs!$C$8,0)</f>
        <v>6</v>
      </c>
      <c r="H59" s="13" t="n">
        <f aca="false">ROUND(F59*Inputs!$C$7*(1-Inputs!$C$8),0)</f>
        <v>14</v>
      </c>
      <c r="I59" s="13" t="n">
        <f aca="false">F59-G59-H59</f>
        <v>62</v>
      </c>
      <c r="J59" s="14" t="n">
        <f aca="false">(G59/2)*MAX(0,MIN(1,Inputs!$C$19+(B59-C59)*Inputs!$C$20))</f>
        <v>0.3</v>
      </c>
      <c r="K59" s="14" t="n">
        <f aca="false">(G59/2)*MAX(0,MIN(1,Inputs!$C$19+(C59-B59)*Inputs!$C$20))</f>
        <v>0.3</v>
      </c>
      <c r="L59" s="14" t="n">
        <f aca="false">(H59/2)*MAX(0,1-MIN(1,Inputs!$C$23+(C59-B59)*Inputs!$C$24))*0.5</f>
        <v>0.42</v>
      </c>
      <c r="M59" s="14" t="n">
        <f aca="false">(H59/2)*MAX(0,1-MIN(1,Inputs!$C$23+(B59-C59)*Inputs!$C$24))*0.5</f>
        <v>0.42</v>
      </c>
      <c r="N59" s="13" t="n">
        <f aca="false">ROUND(F59*(0.5+(B59-C59)*0.005),0)</f>
        <v>41</v>
      </c>
      <c r="O59" s="13" t="n">
        <f aca="false">F59-N59</f>
        <v>41</v>
      </c>
      <c r="P59" s="14" t="n">
        <f aca="false">N59*MAX(0,MIN(1,Inputs!$C$32+(D59-E59)*Inputs!$C$33))</f>
        <v>8.282</v>
      </c>
      <c r="Q59" s="14" t="n">
        <f aca="false">O59*MAX(0,MIN(1,Inputs!$C$32+(E59-D59)*Inputs!$C$33))</f>
        <v>12.218</v>
      </c>
      <c r="R59" s="13" t="n">
        <f aca="false">ROUND(P59*Inputs!$C$31,0)</f>
        <v>2</v>
      </c>
      <c r="S59" s="13" t="n">
        <f aca="false">ROUND(Q59*Inputs!$C$31,0)</f>
        <v>4</v>
      </c>
      <c r="T59" s="14" t="n">
        <f aca="false">J59+L59+I59*Inputs!$C$28*0.5</f>
        <v>6.3</v>
      </c>
      <c r="U59" s="14" t="n">
        <f aca="false">K59+M59+I59*Inputs!$C$28*0.5</f>
        <v>6.3</v>
      </c>
      <c r="V59" s="14" t="n">
        <f aca="false">T59*Inputs!$C$36</f>
        <v>4.41</v>
      </c>
      <c r="W59" s="14" t="n">
        <f aca="false">U59*Inputs!$C$36</f>
        <v>4.41</v>
      </c>
      <c r="X59" s="14" t="n">
        <f aca="false">V59*Inputs!$C$37</f>
        <v>2.8665</v>
      </c>
      <c r="Y59" s="14" t="n">
        <f aca="false">W59*Inputs!$C$37</f>
        <v>2.8665</v>
      </c>
      <c r="Z59" s="14" t="n">
        <f aca="false">R59*Inputs!$C$38</f>
        <v>1.5</v>
      </c>
      <c r="AA59" s="14" t="n">
        <f aca="false">S59*Inputs!$C$38</f>
        <v>3</v>
      </c>
      <c r="AB59" s="13" t="n">
        <f aca="false">ROUND(R59*5+Z59*2+X59*3,0)</f>
        <v>22</v>
      </c>
      <c r="AC59" s="13" t="n">
        <f aca="false">ROUND(S59*5+AA59*2+Y59*3,0)</f>
        <v>35</v>
      </c>
      <c r="AD59" s="13" t="n">
        <f aca="true">IF(RAND()&lt;Inputs!$C$41,1,0)+IF(RAND()&lt;Inputs!$C$41,1,0)</f>
        <v>1</v>
      </c>
      <c r="AE59" s="13" t="n">
        <f aca="true">IF(RAND()&lt;Inputs!$C$42,1,0)+IF(RAND()&lt;Inputs!$C$42,1,0)</f>
        <v>0</v>
      </c>
      <c r="AF59" s="13" t="n">
        <f aca="false">AB59+AC59</f>
        <v>57</v>
      </c>
      <c r="AG59" s="13" t="n">
        <f aca="false">ABS(AB59-AC59)</f>
        <v>13</v>
      </c>
      <c r="AH59" s="13" t="n">
        <f aca="false">R59+S59</f>
        <v>6</v>
      </c>
      <c r="AI59" s="14" t="n">
        <f aca="false">V59+W59</f>
        <v>8.82</v>
      </c>
      <c r="AJ59" s="14" t="n">
        <f aca="false">X59+Y59</f>
        <v>5.733</v>
      </c>
      <c r="AK59" s="13" t="n">
        <f aca="false">IF(AB59=AC59,1,0)</f>
        <v>0</v>
      </c>
    </row>
    <row r="60" customFormat="false" ht="15" hidden="false" customHeight="false" outlineLevel="0" collapsed="false">
      <c r="A60" s="12" t="n">
        <v>57</v>
      </c>
      <c r="B60" s="13" t="n">
        <f aca="true">ROUND(MAX(30,MIN(95,Inputs!$C$11+(RAND()+RAND()+RAND()-1.5)*Inputs!$C$12*2)),0)</f>
        <v>63</v>
      </c>
      <c r="C60" s="13" t="n">
        <f aca="true">ROUND(MAX(30,MIN(95,Inputs!$C$11+(RAND()+RAND()+RAND()-1.5)*Inputs!$C$12*2)),0)</f>
        <v>60</v>
      </c>
      <c r="D60" s="13" t="n">
        <f aca="true">ROUND(MAX(30,MIN(95,Inputs!$C$13+(RAND()+RAND()+RAND()-1.5)*Inputs!$C$14*2)),0)</f>
        <v>72</v>
      </c>
      <c r="E60" s="13" t="n">
        <f aca="true">ROUND(MAX(30,MIN(95,Inputs!$C$13+(RAND()+RAND()+RAND()-1.5)*Inputs!$C$14*2)),0)</f>
        <v>62</v>
      </c>
      <c r="F60" s="13" t="n">
        <f aca="false">RANDBETWEEN(Inputs!$C$5,Inputs!$C$6)</f>
        <v>77</v>
      </c>
      <c r="G60" s="13" t="n">
        <f aca="false">ROUND(F60*Inputs!$C$7*Inputs!$C$8,0)</f>
        <v>6</v>
      </c>
      <c r="H60" s="13" t="n">
        <f aca="false">ROUND(F60*Inputs!$C$7*(1-Inputs!$C$8),0)</f>
        <v>13</v>
      </c>
      <c r="I60" s="13" t="n">
        <f aca="false">F60-G60-H60</f>
        <v>58</v>
      </c>
      <c r="J60" s="14" t="n">
        <f aca="false">(G60/2)*MAX(0,MIN(1,Inputs!$C$19+(B60-C60)*Inputs!$C$20))</f>
        <v>0.327</v>
      </c>
      <c r="K60" s="14" t="n">
        <f aca="false">(G60/2)*MAX(0,MIN(1,Inputs!$C$19+(C60-B60)*Inputs!$C$20))</f>
        <v>0.273</v>
      </c>
      <c r="L60" s="14" t="n">
        <f aca="false">(H60/2)*MAX(0,1-MIN(1,Inputs!$C$23+(C60-B60)*Inputs!$C$24))*0.5</f>
        <v>0.41925</v>
      </c>
      <c r="M60" s="14" t="n">
        <f aca="false">(H60/2)*MAX(0,1-MIN(1,Inputs!$C$23+(B60-C60)*Inputs!$C$24))*0.5</f>
        <v>0.36075</v>
      </c>
      <c r="N60" s="13" t="n">
        <f aca="false">ROUND(F60*(0.5+(B60-C60)*0.005),0)</f>
        <v>40</v>
      </c>
      <c r="O60" s="13" t="n">
        <f aca="false">F60-N60</f>
        <v>37</v>
      </c>
      <c r="P60" s="14" t="n">
        <f aca="false">N60*MAX(0,MIN(1,Inputs!$C$32+(D60-E60)*Inputs!$C$33))</f>
        <v>11.2</v>
      </c>
      <c r="Q60" s="14" t="n">
        <f aca="false">O60*MAX(0,MIN(1,Inputs!$C$32+(E60-D60)*Inputs!$C$33))</f>
        <v>8.14</v>
      </c>
      <c r="R60" s="13" t="n">
        <f aca="false">ROUND(P60*Inputs!$C$31,0)</f>
        <v>3</v>
      </c>
      <c r="S60" s="13" t="n">
        <f aca="false">ROUND(Q60*Inputs!$C$31,0)</f>
        <v>2</v>
      </c>
      <c r="T60" s="14" t="n">
        <f aca="false">J60+L60+I60*Inputs!$C$28*0.5</f>
        <v>5.96625</v>
      </c>
      <c r="U60" s="14" t="n">
        <f aca="false">K60+M60+I60*Inputs!$C$28*0.5</f>
        <v>5.85375</v>
      </c>
      <c r="V60" s="14" t="n">
        <f aca="false">T60*Inputs!$C$36</f>
        <v>4.176375</v>
      </c>
      <c r="W60" s="14" t="n">
        <f aca="false">U60*Inputs!$C$36</f>
        <v>4.097625</v>
      </c>
      <c r="X60" s="14" t="n">
        <f aca="false">V60*Inputs!$C$37</f>
        <v>2.71464375</v>
      </c>
      <c r="Y60" s="14" t="n">
        <f aca="false">W60*Inputs!$C$37</f>
        <v>2.66345625</v>
      </c>
      <c r="Z60" s="14" t="n">
        <f aca="false">R60*Inputs!$C$38</f>
        <v>2.25</v>
      </c>
      <c r="AA60" s="14" t="n">
        <f aca="false">S60*Inputs!$C$38</f>
        <v>1.5</v>
      </c>
      <c r="AB60" s="13" t="n">
        <f aca="false">ROUND(R60*5+Z60*2+X60*3,0)</f>
        <v>28</v>
      </c>
      <c r="AC60" s="13" t="n">
        <f aca="false">ROUND(S60*5+AA60*2+Y60*3,0)</f>
        <v>21</v>
      </c>
      <c r="AD60" s="13" t="n">
        <f aca="true">IF(RAND()&lt;Inputs!$C$41,1,0)+IF(RAND()&lt;Inputs!$C$41,1,0)</f>
        <v>0</v>
      </c>
      <c r="AE60" s="13" t="n">
        <f aca="true">IF(RAND()&lt;Inputs!$C$42,1,0)+IF(RAND()&lt;Inputs!$C$42,1,0)</f>
        <v>0</v>
      </c>
      <c r="AF60" s="13" t="n">
        <f aca="false">AB60+AC60</f>
        <v>49</v>
      </c>
      <c r="AG60" s="13" t="n">
        <f aca="false">ABS(AB60-AC60)</f>
        <v>7</v>
      </c>
      <c r="AH60" s="13" t="n">
        <f aca="false">R60+S60</f>
        <v>5</v>
      </c>
      <c r="AI60" s="14" t="n">
        <f aca="false">V60+W60</f>
        <v>8.274</v>
      </c>
      <c r="AJ60" s="14" t="n">
        <f aca="false">X60+Y60</f>
        <v>5.3781</v>
      </c>
      <c r="AK60" s="13" t="n">
        <f aca="false">IF(AB60=AC60,1,0)</f>
        <v>0</v>
      </c>
    </row>
    <row r="61" customFormat="false" ht="15" hidden="false" customHeight="false" outlineLevel="0" collapsed="false">
      <c r="A61" s="12" t="n">
        <v>58</v>
      </c>
      <c r="B61" s="13" t="n">
        <f aca="true">ROUND(MAX(30,MIN(95,Inputs!$C$11+(RAND()+RAND()+RAND()-1.5)*Inputs!$C$12*2)),0)</f>
        <v>86</v>
      </c>
      <c r="C61" s="13" t="n">
        <f aca="true">ROUND(MAX(30,MIN(95,Inputs!$C$11+(RAND()+RAND()+RAND()-1.5)*Inputs!$C$12*2)),0)</f>
        <v>79</v>
      </c>
      <c r="D61" s="13" t="n">
        <f aca="true">ROUND(MAX(30,MIN(95,Inputs!$C$13+(RAND()+RAND()+RAND()-1.5)*Inputs!$C$14*2)),0)</f>
        <v>62</v>
      </c>
      <c r="E61" s="13" t="n">
        <f aca="true">ROUND(MAX(30,MIN(95,Inputs!$C$13+(RAND()+RAND()+RAND()-1.5)*Inputs!$C$14*2)),0)</f>
        <v>74</v>
      </c>
      <c r="F61" s="13" t="n">
        <f aca="false">RANDBETWEEN(Inputs!$C$5,Inputs!$C$6)</f>
        <v>85</v>
      </c>
      <c r="G61" s="13" t="n">
        <f aca="false">ROUND(F61*Inputs!$C$7*Inputs!$C$8,0)</f>
        <v>6</v>
      </c>
      <c r="H61" s="13" t="n">
        <f aca="false">ROUND(F61*Inputs!$C$7*(1-Inputs!$C$8),0)</f>
        <v>15</v>
      </c>
      <c r="I61" s="13" t="n">
        <f aca="false">F61-G61-H61</f>
        <v>64</v>
      </c>
      <c r="J61" s="14" t="n">
        <f aca="false">(G61/2)*MAX(0,MIN(1,Inputs!$C$19+(B61-C61)*Inputs!$C$20))</f>
        <v>0.363</v>
      </c>
      <c r="K61" s="14" t="n">
        <f aca="false">(G61/2)*MAX(0,MIN(1,Inputs!$C$19+(C61-B61)*Inputs!$C$20))</f>
        <v>0.237</v>
      </c>
      <c r="L61" s="14" t="n">
        <f aca="false">(H61/2)*MAX(0,1-MIN(1,Inputs!$C$23+(C61-B61)*Inputs!$C$24))*0.5</f>
        <v>0.52875</v>
      </c>
      <c r="M61" s="14" t="n">
        <f aca="false">(H61/2)*MAX(0,1-MIN(1,Inputs!$C$23+(B61-C61)*Inputs!$C$24))*0.5</f>
        <v>0.37125</v>
      </c>
      <c r="N61" s="13" t="n">
        <f aca="false">ROUND(F61*(0.5+(B61-C61)*0.005),0)</f>
        <v>45</v>
      </c>
      <c r="O61" s="13" t="n">
        <f aca="false">F61-N61</f>
        <v>40</v>
      </c>
      <c r="P61" s="14" t="n">
        <f aca="false">N61*MAX(0,MIN(1,Inputs!$C$32+(D61-E61)*Inputs!$C$33))</f>
        <v>9.63</v>
      </c>
      <c r="Q61" s="14" t="n">
        <f aca="false">O61*MAX(0,MIN(1,Inputs!$C$32+(E61-D61)*Inputs!$C$33))</f>
        <v>11.44</v>
      </c>
      <c r="R61" s="13" t="n">
        <f aca="false">ROUND(P61*Inputs!$C$31,0)</f>
        <v>3</v>
      </c>
      <c r="S61" s="13" t="n">
        <f aca="false">ROUND(Q61*Inputs!$C$31,0)</f>
        <v>3</v>
      </c>
      <c r="T61" s="14" t="n">
        <f aca="false">J61+L61+I61*Inputs!$C$28*0.5</f>
        <v>6.65175</v>
      </c>
      <c r="U61" s="14" t="n">
        <f aca="false">K61+M61+I61*Inputs!$C$28*0.5</f>
        <v>6.36825</v>
      </c>
      <c r="V61" s="14" t="n">
        <f aca="false">T61*Inputs!$C$36</f>
        <v>4.656225</v>
      </c>
      <c r="W61" s="14" t="n">
        <f aca="false">U61*Inputs!$C$36</f>
        <v>4.457775</v>
      </c>
      <c r="X61" s="14" t="n">
        <f aca="false">V61*Inputs!$C$37</f>
        <v>3.02654625</v>
      </c>
      <c r="Y61" s="14" t="n">
        <f aca="false">W61*Inputs!$C$37</f>
        <v>2.89755375</v>
      </c>
      <c r="Z61" s="14" t="n">
        <f aca="false">R61*Inputs!$C$38</f>
        <v>2.25</v>
      </c>
      <c r="AA61" s="14" t="n">
        <f aca="false">S61*Inputs!$C$38</f>
        <v>2.25</v>
      </c>
      <c r="AB61" s="13" t="n">
        <f aca="false">ROUND(R61*5+Z61*2+X61*3,0)</f>
        <v>29</v>
      </c>
      <c r="AC61" s="13" t="n">
        <f aca="false">ROUND(S61*5+AA61*2+Y61*3,0)</f>
        <v>28</v>
      </c>
      <c r="AD61" s="13" t="n">
        <f aca="true">IF(RAND()&lt;Inputs!$C$41,1,0)+IF(RAND()&lt;Inputs!$C$41,1,0)</f>
        <v>1</v>
      </c>
      <c r="AE61" s="13" t="n">
        <f aca="true">IF(RAND()&lt;Inputs!$C$42,1,0)+IF(RAND()&lt;Inputs!$C$42,1,0)</f>
        <v>0</v>
      </c>
      <c r="AF61" s="13" t="n">
        <f aca="false">AB61+AC61</f>
        <v>57</v>
      </c>
      <c r="AG61" s="13" t="n">
        <f aca="false">ABS(AB61-AC61)</f>
        <v>1</v>
      </c>
      <c r="AH61" s="13" t="n">
        <f aca="false">R61+S61</f>
        <v>6</v>
      </c>
      <c r="AI61" s="14" t="n">
        <f aca="false">V61+W61</f>
        <v>9.114</v>
      </c>
      <c r="AJ61" s="14" t="n">
        <f aca="false">X61+Y61</f>
        <v>5.9241</v>
      </c>
      <c r="AK61" s="13" t="n">
        <f aca="false">IF(AB61=AC61,1,0)</f>
        <v>0</v>
      </c>
    </row>
    <row r="62" customFormat="false" ht="15" hidden="false" customHeight="false" outlineLevel="0" collapsed="false">
      <c r="A62" s="12" t="n">
        <v>59</v>
      </c>
      <c r="B62" s="13" t="n">
        <f aca="true">ROUND(MAX(30,MIN(95,Inputs!$C$11+(RAND()+RAND()+RAND()-1.5)*Inputs!$C$12*2)),0)</f>
        <v>73</v>
      </c>
      <c r="C62" s="13" t="n">
        <f aca="true">ROUND(MAX(30,MIN(95,Inputs!$C$11+(RAND()+RAND()+RAND()-1.5)*Inputs!$C$12*2)),0)</f>
        <v>55</v>
      </c>
      <c r="D62" s="13" t="n">
        <f aca="true">ROUND(MAX(30,MIN(95,Inputs!$C$13+(RAND()+RAND()+RAND()-1.5)*Inputs!$C$14*2)),0)</f>
        <v>50</v>
      </c>
      <c r="E62" s="13" t="n">
        <f aca="true">ROUND(MAX(30,MIN(95,Inputs!$C$13+(RAND()+RAND()+RAND()-1.5)*Inputs!$C$14*2)),0)</f>
        <v>84</v>
      </c>
      <c r="F62" s="13" t="n">
        <f aca="false">RANDBETWEEN(Inputs!$C$5,Inputs!$C$6)</f>
        <v>84</v>
      </c>
      <c r="G62" s="13" t="n">
        <f aca="false">ROUND(F62*Inputs!$C$7*Inputs!$C$8,0)</f>
        <v>6</v>
      </c>
      <c r="H62" s="13" t="n">
        <f aca="false">ROUND(F62*Inputs!$C$7*(1-Inputs!$C$8),0)</f>
        <v>15</v>
      </c>
      <c r="I62" s="13" t="n">
        <f aca="false">F62-G62-H62</f>
        <v>63</v>
      </c>
      <c r="J62" s="14" t="n">
        <f aca="false">(G62/2)*MAX(0,MIN(1,Inputs!$C$19+(B62-C62)*Inputs!$C$20))</f>
        <v>0.462</v>
      </c>
      <c r="K62" s="14" t="n">
        <f aca="false">(G62/2)*MAX(0,MIN(1,Inputs!$C$19+(C62-B62)*Inputs!$C$20))</f>
        <v>0.138</v>
      </c>
      <c r="L62" s="14" t="n">
        <f aca="false">(H62/2)*MAX(0,1-MIN(1,Inputs!$C$23+(C62-B62)*Inputs!$C$24))*0.5</f>
        <v>0.6525</v>
      </c>
      <c r="M62" s="14" t="n">
        <f aca="false">(H62/2)*MAX(0,1-MIN(1,Inputs!$C$23+(B62-C62)*Inputs!$C$24))*0.5</f>
        <v>0.2475</v>
      </c>
      <c r="N62" s="13" t="n">
        <f aca="false">ROUND(F62*(0.5+(B62-C62)*0.005),0)</f>
        <v>50</v>
      </c>
      <c r="O62" s="13" t="n">
        <f aca="false">F62-N62</f>
        <v>34</v>
      </c>
      <c r="P62" s="14" t="n">
        <f aca="false">N62*MAX(0,MIN(1,Inputs!$C$32+(D62-E62)*Inputs!$C$33))</f>
        <v>7.4</v>
      </c>
      <c r="Q62" s="14" t="n">
        <f aca="false">O62*MAX(0,MIN(1,Inputs!$C$32+(E62-D62)*Inputs!$C$33))</f>
        <v>11.968</v>
      </c>
      <c r="R62" s="13" t="n">
        <f aca="false">ROUND(P62*Inputs!$C$31,0)</f>
        <v>2</v>
      </c>
      <c r="S62" s="13" t="n">
        <f aca="false">ROUND(Q62*Inputs!$C$31,0)</f>
        <v>4</v>
      </c>
      <c r="T62" s="14" t="n">
        <f aca="false">J62+L62+I62*Inputs!$C$28*0.5</f>
        <v>6.7845</v>
      </c>
      <c r="U62" s="14" t="n">
        <f aca="false">K62+M62+I62*Inputs!$C$28*0.5</f>
        <v>6.0555</v>
      </c>
      <c r="V62" s="14" t="n">
        <f aca="false">T62*Inputs!$C$36</f>
        <v>4.74915</v>
      </c>
      <c r="W62" s="14" t="n">
        <f aca="false">U62*Inputs!$C$36</f>
        <v>4.23885</v>
      </c>
      <c r="X62" s="14" t="n">
        <f aca="false">V62*Inputs!$C$37</f>
        <v>3.0869475</v>
      </c>
      <c r="Y62" s="14" t="n">
        <f aca="false">W62*Inputs!$C$37</f>
        <v>2.7552525</v>
      </c>
      <c r="Z62" s="14" t="n">
        <f aca="false">R62*Inputs!$C$38</f>
        <v>1.5</v>
      </c>
      <c r="AA62" s="14" t="n">
        <f aca="false">S62*Inputs!$C$38</f>
        <v>3</v>
      </c>
      <c r="AB62" s="13" t="n">
        <f aca="false">ROUND(R62*5+Z62*2+X62*3,0)</f>
        <v>22</v>
      </c>
      <c r="AC62" s="13" t="n">
        <f aca="false">ROUND(S62*5+AA62*2+Y62*3,0)</f>
        <v>34</v>
      </c>
      <c r="AD62" s="13" t="n">
        <f aca="true">IF(RAND()&lt;Inputs!$C$41,1,0)+IF(RAND()&lt;Inputs!$C$41,1,0)</f>
        <v>0</v>
      </c>
      <c r="AE62" s="13" t="n">
        <f aca="true">IF(RAND()&lt;Inputs!$C$42,1,0)+IF(RAND()&lt;Inputs!$C$42,1,0)</f>
        <v>0</v>
      </c>
      <c r="AF62" s="13" t="n">
        <f aca="false">AB62+AC62</f>
        <v>56</v>
      </c>
      <c r="AG62" s="13" t="n">
        <f aca="false">ABS(AB62-AC62)</f>
        <v>12</v>
      </c>
      <c r="AH62" s="13" t="n">
        <f aca="false">R62+S62</f>
        <v>6</v>
      </c>
      <c r="AI62" s="14" t="n">
        <f aca="false">V62+W62</f>
        <v>8.988</v>
      </c>
      <c r="AJ62" s="14" t="n">
        <f aca="false">X62+Y62</f>
        <v>5.8422</v>
      </c>
      <c r="AK62" s="13" t="n">
        <f aca="false">IF(AB62=AC62,1,0)</f>
        <v>0</v>
      </c>
    </row>
    <row r="63" customFormat="false" ht="15" hidden="false" customHeight="false" outlineLevel="0" collapsed="false">
      <c r="A63" s="12" t="n">
        <v>60</v>
      </c>
      <c r="B63" s="13" t="n">
        <f aca="true">ROUND(MAX(30,MIN(95,Inputs!$C$11+(RAND()+RAND()+RAND()-1.5)*Inputs!$C$12*2)),0)</f>
        <v>54</v>
      </c>
      <c r="C63" s="13" t="n">
        <f aca="true">ROUND(MAX(30,MIN(95,Inputs!$C$11+(RAND()+RAND()+RAND()-1.5)*Inputs!$C$12*2)),0)</f>
        <v>62</v>
      </c>
      <c r="D63" s="13" t="n">
        <f aca="true">ROUND(MAX(30,MIN(95,Inputs!$C$13+(RAND()+RAND()+RAND()-1.5)*Inputs!$C$14*2)),0)</f>
        <v>72</v>
      </c>
      <c r="E63" s="13" t="n">
        <f aca="true">ROUND(MAX(30,MIN(95,Inputs!$C$13+(RAND()+RAND()+RAND()-1.5)*Inputs!$C$14*2)),0)</f>
        <v>79</v>
      </c>
      <c r="F63" s="13" t="n">
        <f aca="false">RANDBETWEEN(Inputs!$C$5,Inputs!$C$6)</f>
        <v>74</v>
      </c>
      <c r="G63" s="13" t="n">
        <f aca="false">ROUND(F63*Inputs!$C$7*Inputs!$C$8,0)</f>
        <v>6</v>
      </c>
      <c r="H63" s="13" t="n">
        <f aca="false">ROUND(F63*Inputs!$C$7*(1-Inputs!$C$8),0)</f>
        <v>13</v>
      </c>
      <c r="I63" s="13" t="n">
        <f aca="false">F63-G63-H63</f>
        <v>55</v>
      </c>
      <c r="J63" s="14" t="n">
        <f aca="false">(G63/2)*MAX(0,MIN(1,Inputs!$C$19+(B63-C63)*Inputs!$C$20))</f>
        <v>0.228</v>
      </c>
      <c r="K63" s="14" t="n">
        <f aca="false">(G63/2)*MAX(0,MIN(1,Inputs!$C$19+(C63-B63)*Inputs!$C$20))</f>
        <v>0.372</v>
      </c>
      <c r="L63" s="14" t="n">
        <f aca="false">(H63/2)*MAX(0,1-MIN(1,Inputs!$C$23+(C63-B63)*Inputs!$C$24))*0.5</f>
        <v>0.312</v>
      </c>
      <c r="M63" s="14" t="n">
        <f aca="false">(H63/2)*MAX(0,1-MIN(1,Inputs!$C$23+(B63-C63)*Inputs!$C$24))*0.5</f>
        <v>0.468</v>
      </c>
      <c r="N63" s="13" t="n">
        <f aca="false">ROUND(F63*(0.5+(B63-C63)*0.005),0)</f>
        <v>34</v>
      </c>
      <c r="O63" s="13" t="n">
        <f aca="false">F63-N63</f>
        <v>40</v>
      </c>
      <c r="P63" s="14" t="n">
        <f aca="false">N63*MAX(0,MIN(1,Inputs!$C$32+(D63-E63)*Inputs!$C$33))</f>
        <v>7.786</v>
      </c>
      <c r="Q63" s="14" t="n">
        <f aca="false">O63*MAX(0,MIN(1,Inputs!$C$32+(E63-D63)*Inputs!$C$33))</f>
        <v>10.84</v>
      </c>
      <c r="R63" s="13" t="n">
        <f aca="false">ROUND(P63*Inputs!$C$31,0)</f>
        <v>2</v>
      </c>
      <c r="S63" s="13" t="n">
        <f aca="false">ROUND(Q63*Inputs!$C$31,0)</f>
        <v>3</v>
      </c>
      <c r="T63" s="14" t="n">
        <f aca="false">J63+L63+I63*Inputs!$C$28*0.5</f>
        <v>5.49</v>
      </c>
      <c r="U63" s="14" t="n">
        <f aca="false">K63+M63+I63*Inputs!$C$28*0.5</f>
        <v>5.79</v>
      </c>
      <c r="V63" s="14" t="n">
        <f aca="false">T63*Inputs!$C$36</f>
        <v>3.843</v>
      </c>
      <c r="W63" s="14" t="n">
        <f aca="false">U63*Inputs!$C$36</f>
        <v>4.053</v>
      </c>
      <c r="X63" s="14" t="n">
        <f aca="false">V63*Inputs!$C$37</f>
        <v>2.49795</v>
      </c>
      <c r="Y63" s="14" t="n">
        <f aca="false">W63*Inputs!$C$37</f>
        <v>2.63445</v>
      </c>
      <c r="Z63" s="14" t="n">
        <f aca="false">R63*Inputs!$C$38</f>
        <v>1.5</v>
      </c>
      <c r="AA63" s="14" t="n">
        <f aca="false">S63*Inputs!$C$38</f>
        <v>2.25</v>
      </c>
      <c r="AB63" s="13" t="n">
        <f aca="false">ROUND(R63*5+Z63*2+X63*3,0)</f>
        <v>20</v>
      </c>
      <c r="AC63" s="13" t="n">
        <f aca="false">ROUND(S63*5+AA63*2+Y63*3,0)</f>
        <v>27</v>
      </c>
      <c r="AD63" s="13" t="n">
        <f aca="true">IF(RAND()&lt;Inputs!$C$41,1,0)+IF(RAND()&lt;Inputs!$C$41,1,0)</f>
        <v>0</v>
      </c>
      <c r="AE63" s="13" t="n">
        <f aca="true">IF(RAND()&lt;Inputs!$C$42,1,0)+IF(RAND()&lt;Inputs!$C$42,1,0)</f>
        <v>0</v>
      </c>
      <c r="AF63" s="13" t="n">
        <f aca="false">AB63+AC63</f>
        <v>47</v>
      </c>
      <c r="AG63" s="13" t="n">
        <f aca="false">ABS(AB63-AC63)</f>
        <v>7</v>
      </c>
      <c r="AH63" s="13" t="n">
        <f aca="false">R63+S63</f>
        <v>5</v>
      </c>
      <c r="AI63" s="14" t="n">
        <f aca="false">V63+W63</f>
        <v>7.896</v>
      </c>
      <c r="AJ63" s="14" t="n">
        <f aca="false">X63+Y63</f>
        <v>5.1324</v>
      </c>
      <c r="AK63" s="13" t="n">
        <f aca="false">IF(AB63=AC63,1,0)</f>
        <v>0</v>
      </c>
    </row>
    <row r="64" customFormat="false" ht="15" hidden="false" customHeight="false" outlineLevel="0" collapsed="false">
      <c r="A64" s="12" t="n">
        <v>61</v>
      </c>
      <c r="B64" s="13" t="n">
        <f aca="true">ROUND(MAX(30,MIN(95,Inputs!$C$11+(RAND()+RAND()+RAND()-1.5)*Inputs!$C$12*2)),0)</f>
        <v>44</v>
      </c>
      <c r="C64" s="13" t="n">
        <f aca="true">ROUND(MAX(30,MIN(95,Inputs!$C$11+(RAND()+RAND()+RAND()-1.5)*Inputs!$C$12*2)),0)</f>
        <v>61</v>
      </c>
      <c r="D64" s="13" t="n">
        <f aca="true">ROUND(MAX(30,MIN(95,Inputs!$C$13+(RAND()+RAND()+RAND()-1.5)*Inputs!$C$14*2)),0)</f>
        <v>92</v>
      </c>
      <c r="E64" s="13" t="n">
        <f aca="true">ROUND(MAX(30,MIN(95,Inputs!$C$13+(RAND()+RAND()+RAND()-1.5)*Inputs!$C$14*2)),0)</f>
        <v>56</v>
      </c>
      <c r="F64" s="13" t="n">
        <f aca="false">RANDBETWEEN(Inputs!$C$5,Inputs!$C$6)</f>
        <v>75</v>
      </c>
      <c r="G64" s="13" t="n">
        <f aca="false">ROUND(F64*Inputs!$C$7*Inputs!$C$8,0)</f>
        <v>6</v>
      </c>
      <c r="H64" s="13" t="n">
        <f aca="false">ROUND(F64*Inputs!$C$7*(1-Inputs!$C$8),0)</f>
        <v>13</v>
      </c>
      <c r="I64" s="13" t="n">
        <f aca="false">F64-G64-H64</f>
        <v>56</v>
      </c>
      <c r="J64" s="14" t="n">
        <f aca="false">(G64/2)*MAX(0,MIN(1,Inputs!$C$19+(B64-C64)*Inputs!$C$20))</f>
        <v>0.147</v>
      </c>
      <c r="K64" s="14" t="n">
        <f aca="false">(G64/2)*MAX(0,MIN(1,Inputs!$C$19+(C64-B64)*Inputs!$C$20))</f>
        <v>0.453</v>
      </c>
      <c r="L64" s="14" t="n">
        <f aca="false">(H64/2)*MAX(0,1-MIN(1,Inputs!$C$23+(C64-B64)*Inputs!$C$24))*0.5</f>
        <v>0.22425</v>
      </c>
      <c r="M64" s="14" t="n">
        <f aca="false">(H64/2)*MAX(0,1-MIN(1,Inputs!$C$23+(B64-C64)*Inputs!$C$24))*0.5</f>
        <v>0.55575</v>
      </c>
      <c r="N64" s="13" t="n">
        <f aca="false">ROUND(F64*(0.5+(B64-C64)*0.005),0)</f>
        <v>31</v>
      </c>
      <c r="O64" s="13" t="n">
        <f aca="false">F64-N64</f>
        <v>44</v>
      </c>
      <c r="P64" s="14" t="n">
        <f aca="false">N64*MAX(0,MIN(1,Inputs!$C$32+(D64-E64)*Inputs!$C$33))</f>
        <v>11.098</v>
      </c>
      <c r="Q64" s="14" t="n">
        <f aca="false">O64*MAX(0,MIN(1,Inputs!$C$32+(E64-D64)*Inputs!$C$33))</f>
        <v>6.248</v>
      </c>
      <c r="R64" s="13" t="n">
        <f aca="false">ROUND(P64*Inputs!$C$31,0)</f>
        <v>3</v>
      </c>
      <c r="S64" s="13" t="n">
        <f aca="false">ROUND(Q64*Inputs!$C$31,0)</f>
        <v>2</v>
      </c>
      <c r="T64" s="14" t="n">
        <f aca="false">J64+L64+I64*Inputs!$C$28*0.5</f>
        <v>5.41125</v>
      </c>
      <c r="U64" s="14" t="n">
        <f aca="false">K64+M64+I64*Inputs!$C$28*0.5</f>
        <v>6.04875</v>
      </c>
      <c r="V64" s="14" t="n">
        <f aca="false">T64*Inputs!$C$36</f>
        <v>3.787875</v>
      </c>
      <c r="W64" s="14" t="n">
        <f aca="false">U64*Inputs!$C$36</f>
        <v>4.234125</v>
      </c>
      <c r="X64" s="14" t="n">
        <f aca="false">V64*Inputs!$C$37</f>
        <v>2.46211875</v>
      </c>
      <c r="Y64" s="14" t="n">
        <f aca="false">W64*Inputs!$C$37</f>
        <v>2.75218125</v>
      </c>
      <c r="Z64" s="14" t="n">
        <f aca="false">R64*Inputs!$C$38</f>
        <v>2.25</v>
      </c>
      <c r="AA64" s="14" t="n">
        <f aca="false">S64*Inputs!$C$38</f>
        <v>1.5</v>
      </c>
      <c r="AB64" s="13" t="n">
        <f aca="false">ROUND(R64*5+Z64*2+X64*3,0)</f>
        <v>27</v>
      </c>
      <c r="AC64" s="13" t="n">
        <f aca="false">ROUND(S64*5+AA64*2+Y64*3,0)</f>
        <v>21</v>
      </c>
      <c r="AD64" s="13" t="n">
        <f aca="true">IF(RAND()&lt;Inputs!$C$41,1,0)+IF(RAND()&lt;Inputs!$C$41,1,0)</f>
        <v>2</v>
      </c>
      <c r="AE64" s="13" t="n">
        <f aca="true">IF(RAND()&lt;Inputs!$C$42,1,0)+IF(RAND()&lt;Inputs!$C$42,1,0)</f>
        <v>1</v>
      </c>
      <c r="AF64" s="13" t="n">
        <f aca="false">AB64+AC64</f>
        <v>48</v>
      </c>
      <c r="AG64" s="13" t="n">
        <f aca="false">ABS(AB64-AC64)</f>
        <v>6</v>
      </c>
      <c r="AH64" s="13" t="n">
        <f aca="false">R64+S64</f>
        <v>5</v>
      </c>
      <c r="AI64" s="14" t="n">
        <f aca="false">V64+W64</f>
        <v>8.022</v>
      </c>
      <c r="AJ64" s="14" t="n">
        <f aca="false">X64+Y64</f>
        <v>5.2143</v>
      </c>
      <c r="AK64" s="13" t="n">
        <f aca="false">IF(AB64=AC64,1,0)</f>
        <v>0</v>
      </c>
    </row>
    <row r="65" customFormat="false" ht="15" hidden="false" customHeight="false" outlineLevel="0" collapsed="false">
      <c r="A65" s="12" t="n">
        <v>62</v>
      </c>
      <c r="B65" s="13" t="n">
        <f aca="true">ROUND(MAX(30,MIN(95,Inputs!$C$11+(RAND()+RAND()+RAND()-1.5)*Inputs!$C$12*2)),0)</f>
        <v>56</v>
      </c>
      <c r="C65" s="13" t="n">
        <f aca="true">ROUND(MAX(30,MIN(95,Inputs!$C$11+(RAND()+RAND()+RAND()-1.5)*Inputs!$C$12*2)),0)</f>
        <v>69</v>
      </c>
      <c r="D65" s="13" t="n">
        <f aca="true">ROUND(MAX(30,MIN(95,Inputs!$C$13+(RAND()+RAND()+RAND()-1.5)*Inputs!$C$14*2)),0)</f>
        <v>77</v>
      </c>
      <c r="E65" s="13" t="n">
        <f aca="true">ROUND(MAX(30,MIN(95,Inputs!$C$13+(RAND()+RAND()+RAND()-1.5)*Inputs!$C$14*2)),0)</f>
        <v>82</v>
      </c>
      <c r="F65" s="13" t="n">
        <f aca="false">RANDBETWEEN(Inputs!$C$5,Inputs!$C$6)</f>
        <v>89</v>
      </c>
      <c r="G65" s="13" t="n">
        <f aca="false">ROUND(F65*Inputs!$C$7*Inputs!$C$8,0)</f>
        <v>7</v>
      </c>
      <c r="H65" s="13" t="n">
        <f aca="false">ROUND(F65*Inputs!$C$7*(1-Inputs!$C$8),0)</f>
        <v>16</v>
      </c>
      <c r="I65" s="13" t="n">
        <f aca="false">F65-G65-H65</f>
        <v>66</v>
      </c>
      <c r="J65" s="14" t="n">
        <f aca="false">(G65/2)*MAX(0,MIN(1,Inputs!$C$19+(B65-C65)*Inputs!$C$20))</f>
        <v>0.2135</v>
      </c>
      <c r="K65" s="14" t="n">
        <f aca="false">(G65/2)*MAX(0,MIN(1,Inputs!$C$19+(C65-B65)*Inputs!$C$20))</f>
        <v>0.4865</v>
      </c>
      <c r="L65" s="14" t="n">
        <f aca="false">(H65/2)*MAX(0,1-MIN(1,Inputs!$C$23+(C65-B65)*Inputs!$C$24))*0.5</f>
        <v>0.324</v>
      </c>
      <c r="M65" s="14" t="n">
        <f aca="false">(H65/2)*MAX(0,1-MIN(1,Inputs!$C$23+(B65-C65)*Inputs!$C$24))*0.5</f>
        <v>0.636</v>
      </c>
      <c r="N65" s="13" t="n">
        <f aca="false">ROUND(F65*(0.5+(B65-C65)*0.005),0)</f>
        <v>39</v>
      </c>
      <c r="O65" s="13" t="n">
        <f aca="false">F65-N65</f>
        <v>50</v>
      </c>
      <c r="P65" s="14" t="n">
        <f aca="false">N65*MAX(0,MIN(1,Inputs!$C$32+(D65-E65)*Inputs!$C$33))</f>
        <v>9.165</v>
      </c>
      <c r="Q65" s="14" t="n">
        <f aca="false">O65*MAX(0,MIN(1,Inputs!$C$32+(E65-D65)*Inputs!$C$33))</f>
        <v>13.25</v>
      </c>
      <c r="R65" s="13" t="n">
        <f aca="false">ROUND(P65*Inputs!$C$31,0)</f>
        <v>3</v>
      </c>
      <c r="S65" s="13" t="n">
        <f aca="false">ROUND(Q65*Inputs!$C$31,0)</f>
        <v>4</v>
      </c>
      <c r="T65" s="14" t="n">
        <f aca="false">J65+L65+I65*Inputs!$C$28*0.5</f>
        <v>6.4775</v>
      </c>
      <c r="U65" s="14" t="n">
        <f aca="false">K65+M65+I65*Inputs!$C$28*0.5</f>
        <v>7.0625</v>
      </c>
      <c r="V65" s="14" t="n">
        <f aca="false">T65*Inputs!$C$36</f>
        <v>4.53425</v>
      </c>
      <c r="W65" s="14" t="n">
        <f aca="false">U65*Inputs!$C$36</f>
        <v>4.94375</v>
      </c>
      <c r="X65" s="14" t="n">
        <f aca="false">V65*Inputs!$C$37</f>
        <v>2.9472625</v>
      </c>
      <c r="Y65" s="14" t="n">
        <f aca="false">W65*Inputs!$C$37</f>
        <v>3.2134375</v>
      </c>
      <c r="Z65" s="14" t="n">
        <f aca="false">R65*Inputs!$C$38</f>
        <v>2.25</v>
      </c>
      <c r="AA65" s="14" t="n">
        <f aca="false">S65*Inputs!$C$38</f>
        <v>3</v>
      </c>
      <c r="AB65" s="13" t="n">
        <f aca="false">ROUND(R65*5+Z65*2+X65*3,0)</f>
        <v>28</v>
      </c>
      <c r="AC65" s="13" t="n">
        <f aca="false">ROUND(S65*5+AA65*2+Y65*3,0)</f>
        <v>36</v>
      </c>
      <c r="AD65" s="13" t="n">
        <f aca="true">IF(RAND()&lt;Inputs!$C$41,1,0)+IF(RAND()&lt;Inputs!$C$41,1,0)</f>
        <v>1</v>
      </c>
      <c r="AE65" s="13" t="n">
        <f aca="true">IF(RAND()&lt;Inputs!$C$42,1,0)+IF(RAND()&lt;Inputs!$C$42,1,0)</f>
        <v>0</v>
      </c>
      <c r="AF65" s="13" t="n">
        <f aca="false">AB65+AC65</f>
        <v>64</v>
      </c>
      <c r="AG65" s="13" t="n">
        <f aca="false">ABS(AB65-AC65)</f>
        <v>8</v>
      </c>
      <c r="AH65" s="13" t="n">
        <f aca="false">R65+S65</f>
        <v>7</v>
      </c>
      <c r="AI65" s="14" t="n">
        <f aca="false">V65+W65</f>
        <v>9.478</v>
      </c>
      <c r="AJ65" s="14" t="n">
        <f aca="false">X65+Y65</f>
        <v>6.1607</v>
      </c>
      <c r="AK65" s="13" t="n">
        <f aca="false">IF(AB65=AC65,1,0)</f>
        <v>0</v>
      </c>
    </row>
    <row r="66" customFormat="false" ht="15" hidden="false" customHeight="false" outlineLevel="0" collapsed="false">
      <c r="A66" s="12" t="n">
        <v>63</v>
      </c>
      <c r="B66" s="13" t="n">
        <f aca="true">ROUND(MAX(30,MIN(95,Inputs!$C$11+(RAND()+RAND()+RAND()-1.5)*Inputs!$C$12*2)),0)</f>
        <v>67</v>
      </c>
      <c r="C66" s="13" t="n">
        <f aca="true">ROUND(MAX(30,MIN(95,Inputs!$C$11+(RAND()+RAND()+RAND()-1.5)*Inputs!$C$12*2)),0)</f>
        <v>42</v>
      </c>
      <c r="D66" s="13" t="n">
        <f aca="true">ROUND(MAX(30,MIN(95,Inputs!$C$13+(RAND()+RAND()+RAND()-1.5)*Inputs!$C$14*2)),0)</f>
        <v>79</v>
      </c>
      <c r="E66" s="13" t="n">
        <f aca="true">ROUND(MAX(30,MIN(95,Inputs!$C$13+(RAND()+RAND()+RAND()-1.5)*Inputs!$C$14*2)),0)</f>
        <v>55</v>
      </c>
      <c r="F66" s="13" t="n">
        <f aca="false">RANDBETWEEN(Inputs!$C$5,Inputs!$C$6)</f>
        <v>85</v>
      </c>
      <c r="G66" s="13" t="n">
        <f aca="false">ROUND(F66*Inputs!$C$7*Inputs!$C$8,0)</f>
        <v>6</v>
      </c>
      <c r="H66" s="13" t="n">
        <f aca="false">ROUND(F66*Inputs!$C$7*(1-Inputs!$C$8),0)</f>
        <v>15</v>
      </c>
      <c r="I66" s="13" t="n">
        <f aca="false">F66-G66-H66</f>
        <v>64</v>
      </c>
      <c r="J66" s="14" t="n">
        <f aca="false">(G66/2)*MAX(0,MIN(1,Inputs!$C$19+(B66-C66)*Inputs!$C$20))</f>
        <v>0.525</v>
      </c>
      <c r="K66" s="14" t="n">
        <f aca="false">(G66/2)*MAX(0,MIN(1,Inputs!$C$19+(C66-B66)*Inputs!$C$20))</f>
        <v>0.075</v>
      </c>
      <c r="L66" s="14" t="n">
        <f aca="false">(H66/2)*MAX(0,1-MIN(1,Inputs!$C$23+(C66-B66)*Inputs!$C$24))*0.5</f>
        <v>0.73125</v>
      </c>
      <c r="M66" s="14" t="n">
        <f aca="false">(H66/2)*MAX(0,1-MIN(1,Inputs!$C$23+(B66-C66)*Inputs!$C$24))*0.5</f>
        <v>0.16875</v>
      </c>
      <c r="N66" s="13" t="n">
        <f aca="false">ROUND(F66*(0.5+(B66-C66)*0.005),0)</f>
        <v>53</v>
      </c>
      <c r="O66" s="13" t="n">
        <f aca="false">F66-N66</f>
        <v>32</v>
      </c>
      <c r="P66" s="14" t="n">
        <f aca="false">N66*MAX(0,MIN(1,Inputs!$C$32+(D66-E66)*Inputs!$C$33))</f>
        <v>17.066</v>
      </c>
      <c r="Q66" s="14" t="n">
        <f aca="false">O66*MAX(0,MIN(1,Inputs!$C$32+(E66-D66)*Inputs!$C$33))</f>
        <v>5.696</v>
      </c>
      <c r="R66" s="13" t="n">
        <f aca="false">ROUND(P66*Inputs!$C$31,0)</f>
        <v>5</v>
      </c>
      <c r="S66" s="13" t="n">
        <f aca="false">ROUND(Q66*Inputs!$C$31,0)</f>
        <v>2</v>
      </c>
      <c r="T66" s="14" t="n">
        <f aca="false">J66+L66+I66*Inputs!$C$28*0.5</f>
        <v>7.01625</v>
      </c>
      <c r="U66" s="14" t="n">
        <f aca="false">K66+M66+I66*Inputs!$C$28*0.5</f>
        <v>6.00375</v>
      </c>
      <c r="V66" s="14" t="n">
        <f aca="false">T66*Inputs!$C$36</f>
        <v>4.911375</v>
      </c>
      <c r="W66" s="14" t="n">
        <f aca="false">U66*Inputs!$C$36</f>
        <v>4.202625</v>
      </c>
      <c r="X66" s="14" t="n">
        <f aca="false">V66*Inputs!$C$37</f>
        <v>3.19239375</v>
      </c>
      <c r="Y66" s="14" t="n">
        <f aca="false">W66*Inputs!$C$37</f>
        <v>2.73170625</v>
      </c>
      <c r="Z66" s="14" t="n">
        <f aca="false">R66*Inputs!$C$38</f>
        <v>3.75</v>
      </c>
      <c r="AA66" s="14" t="n">
        <f aca="false">S66*Inputs!$C$38</f>
        <v>1.5</v>
      </c>
      <c r="AB66" s="13" t="n">
        <f aca="false">ROUND(R66*5+Z66*2+X66*3,0)</f>
        <v>42</v>
      </c>
      <c r="AC66" s="13" t="n">
        <f aca="false">ROUND(S66*5+AA66*2+Y66*3,0)</f>
        <v>21</v>
      </c>
      <c r="AD66" s="13" t="n">
        <f aca="true">IF(RAND()&lt;Inputs!$C$41,1,0)+IF(RAND()&lt;Inputs!$C$41,1,0)</f>
        <v>1</v>
      </c>
      <c r="AE66" s="13" t="n">
        <f aca="true">IF(RAND()&lt;Inputs!$C$42,1,0)+IF(RAND()&lt;Inputs!$C$42,1,0)</f>
        <v>0</v>
      </c>
      <c r="AF66" s="13" t="n">
        <f aca="false">AB66+AC66</f>
        <v>63</v>
      </c>
      <c r="AG66" s="13" t="n">
        <f aca="false">ABS(AB66-AC66)</f>
        <v>21</v>
      </c>
      <c r="AH66" s="13" t="n">
        <f aca="false">R66+S66</f>
        <v>7</v>
      </c>
      <c r="AI66" s="14" t="n">
        <f aca="false">V66+W66</f>
        <v>9.114</v>
      </c>
      <c r="AJ66" s="14" t="n">
        <f aca="false">X66+Y66</f>
        <v>5.9241</v>
      </c>
      <c r="AK66" s="13" t="n">
        <f aca="false">IF(AB66=AC66,1,0)</f>
        <v>0</v>
      </c>
    </row>
    <row r="67" customFormat="false" ht="15" hidden="false" customHeight="false" outlineLevel="0" collapsed="false">
      <c r="A67" s="12" t="n">
        <v>64</v>
      </c>
      <c r="B67" s="13" t="n">
        <f aca="true">ROUND(MAX(30,MIN(95,Inputs!$C$11+(RAND()+RAND()+RAND()-1.5)*Inputs!$C$12*2)),0)</f>
        <v>50</v>
      </c>
      <c r="C67" s="13" t="n">
        <f aca="true">ROUND(MAX(30,MIN(95,Inputs!$C$11+(RAND()+RAND()+RAND()-1.5)*Inputs!$C$12*2)),0)</f>
        <v>90</v>
      </c>
      <c r="D67" s="13" t="n">
        <f aca="true">ROUND(MAX(30,MIN(95,Inputs!$C$13+(RAND()+RAND()+RAND()-1.5)*Inputs!$C$14*2)),0)</f>
        <v>61</v>
      </c>
      <c r="E67" s="13" t="n">
        <f aca="true">ROUND(MAX(30,MIN(95,Inputs!$C$13+(RAND()+RAND()+RAND()-1.5)*Inputs!$C$14*2)),0)</f>
        <v>60</v>
      </c>
      <c r="F67" s="13" t="n">
        <f aca="false">RANDBETWEEN(Inputs!$C$5,Inputs!$C$6)</f>
        <v>75</v>
      </c>
      <c r="G67" s="13" t="n">
        <f aca="false">ROUND(F67*Inputs!$C$7*Inputs!$C$8,0)</f>
        <v>6</v>
      </c>
      <c r="H67" s="13" t="n">
        <f aca="false">ROUND(F67*Inputs!$C$7*(1-Inputs!$C$8),0)</f>
        <v>13</v>
      </c>
      <c r="I67" s="13" t="n">
        <f aca="false">F67-G67-H67</f>
        <v>56</v>
      </c>
      <c r="J67" s="14" t="n">
        <f aca="false">(G67/2)*MAX(0,MIN(1,Inputs!$C$19+(B67-C67)*Inputs!$C$20))</f>
        <v>0</v>
      </c>
      <c r="K67" s="14" t="n">
        <f aca="false">(G67/2)*MAX(0,MIN(1,Inputs!$C$19+(C67-B67)*Inputs!$C$20))</f>
        <v>0.66</v>
      </c>
      <c r="L67" s="14" t="n">
        <f aca="false">(H67/2)*MAX(0,1-MIN(1,Inputs!$C$23+(C67-B67)*Inputs!$C$24))*0.5</f>
        <v>0</v>
      </c>
      <c r="M67" s="14" t="n">
        <f aca="false">(H67/2)*MAX(0,1-MIN(1,Inputs!$C$23+(B67-C67)*Inputs!$C$24))*0.5</f>
        <v>0.78</v>
      </c>
      <c r="N67" s="13" t="n">
        <f aca="false">ROUND(F67*(0.5+(B67-C67)*0.005),0)</f>
        <v>23</v>
      </c>
      <c r="O67" s="13" t="n">
        <f aca="false">F67-N67</f>
        <v>52</v>
      </c>
      <c r="P67" s="14" t="n">
        <f aca="false">N67*MAX(0,MIN(1,Inputs!$C$32+(D67-E67)*Inputs!$C$33))</f>
        <v>5.819</v>
      </c>
      <c r="Q67" s="14" t="n">
        <f aca="false">O67*MAX(0,MIN(1,Inputs!$C$32+(E67-D67)*Inputs!$C$33))</f>
        <v>12.844</v>
      </c>
      <c r="R67" s="13" t="n">
        <f aca="false">ROUND(P67*Inputs!$C$31,0)</f>
        <v>2</v>
      </c>
      <c r="S67" s="13" t="n">
        <f aca="false">ROUND(Q67*Inputs!$C$31,0)</f>
        <v>4</v>
      </c>
      <c r="T67" s="14" t="n">
        <f aca="false">J67+L67+I67*Inputs!$C$28*0.5</f>
        <v>5.04</v>
      </c>
      <c r="U67" s="14" t="n">
        <f aca="false">K67+M67+I67*Inputs!$C$28*0.5</f>
        <v>6.48</v>
      </c>
      <c r="V67" s="14" t="n">
        <f aca="false">T67*Inputs!$C$36</f>
        <v>3.528</v>
      </c>
      <c r="W67" s="14" t="n">
        <f aca="false">U67*Inputs!$C$36</f>
        <v>4.536</v>
      </c>
      <c r="X67" s="14" t="n">
        <f aca="false">V67*Inputs!$C$37</f>
        <v>2.2932</v>
      </c>
      <c r="Y67" s="14" t="n">
        <f aca="false">W67*Inputs!$C$37</f>
        <v>2.9484</v>
      </c>
      <c r="Z67" s="14" t="n">
        <f aca="false">R67*Inputs!$C$38</f>
        <v>1.5</v>
      </c>
      <c r="AA67" s="14" t="n">
        <f aca="false">S67*Inputs!$C$38</f>
        <v>3</v>
      </c>
      <c r="AB67" s="13" t="n">
        <f aca="false">ROUND(R67*5+Z67*2+X67*3,0)</f>
        <v>20</v>
      </c>
      <c r="AC67" s="13" t="n">
        <f aca="false">ROUND(S67*5+AA67*2+Y67*3,0)</f>
        <v>35</v>
      </c>
      <c r="AD67" s="13" t="n">
        <f aca="true">IF(RAND()&lt;Inputs!$C$41,1,0)+IF(RAND()&lt;Inputs!$C$41,1,0)</f>
        <v>0</v>
      </c>
      <c r="AE67" s="13" t="n">
        <f aca="true">IF(RAND()&lt;Inputs!$C$42,1,0)+IF(RAND()&lt;Inputs!$C$42,1,0)</f>
        <v>0</v>
      </c>
      <c r="AF67" s="13" t="n">
        <f aca="false">AB67+AC67</f>
        <v>55</v>
      </c>
      <c r="AG67" s="13" t="n">
        <f aca="false">ABS(AB67-AC67)</f>
        <v>15</v>
      </c>
      <c r="AH67" s="13" t="n">
        <f aca="false">R67+S67</f>
        <v>6</v>
      </c>
      <c r="AI67" s="14" t="n">
        <f aca="false">V67+W67</f>
        <v>8.064</v>
      </c>
      <c r="AJ67" s="14" t="n">
        <f aca="false">X67+Y67</f>
        <v>5.2416</v>
      </c>
      <c r="AK67" s="13" t="n">
        <f aca="false">IF(AB67=AC67,1,0)</f>
        <v>0</v>
      </c>
    </row>
    <row r="68" customFormat="false" ht="15" hidden="false" customHeight="false" outlineLevel="0" collapsed="false">
      <c r="A68" s="12" t="n">
        <v>65</v>
      </c>
      <c r="B68" s="13" t="n">
        <f aca="true">ROUND(MAX(30,MIN(95,Inputs!$C$11+(RAND()+RAND()+RAND()-1.5)*Inputs!$C$12*2)),0)</f>
        <v>52</v>
      </c>
      <c r="C68" s="13" t="n">
        <f aca="true">ROUND(MAX(30,MIN(95,Inputs!$C$11+(RAND()+RAND()+RAND()-1.5)*Inputs!$C$12*2)),0)</f>
        <v>66</v>
      </c>
      <c r="D68" s="13" t="n">
        <f aca="true">ROUND(MAX(30,MIN(95,Inputs!$C$13+(RAND()+RAND()+RAND()-1.5)*Inputs!$C$14*2)),0)</f>
        <v>85</v>
      </c>
      <c r="E68" s="13" t="n">
        <f aca="true">ROUND(MAX(30,MIN(95,Inputs!$C$13+(RAND()+RAND()+RAND()-1.5)*Inputs!$C$14*2)),0)</f>
        <v>65</v>
      </c>
      <c r="F68" s="13" t="n">
        <f aca="false">RANDBETWEEN(Inputs!$C$5,Inputs!$C$6)</f>
        <v>77</v>
      </c>
      <c r="G68" s="13" t="n">
        <f aca="false">ROUND(F68*Inputs!$C$7*Inputs!$C$8,0)</f>
        <v>6</v>
      </c>
      <c r="H68" s="13" t="n">
        <f aca="false">ROUND(F68*Inputs!$C$7*(1-Inputs!$C$8),0)</f>
        <v>13</v>
      </c>
      <c r="I68" s="13" t="n">
        <f aca="false">F68-G68-H68</f>
        <v>58</v>
      </c>
      <c r="J68" s="14" t="n">
        <f aca="false">(G68/2)*MAX(0,MIN(1,Inputs!$C$19+(B68-C68)*Inputs!$C$20))</f>
        <v>0.174</v>
      </c>
      <c r="K68" s="14" t="n">
        <f aca="false">(G68/2)*MAX(0,MIN(1,Inputs!$C$19+(C68-B68)*Inputs!$C$20))</f>
        <v>0.426</v>
      </c>
      <c r="L68" s="14" t="n">
        <f aca="false">(H68/2)*MAX(0,1-MIN(1,Inputs!$C$23+(C68-B68)*Inputs!$C$24))*0.5</f>
        <v>0.2535</v>
      </c>
      <c r="M68" s="14" t="n">
        <f aca="false">(H68/2)*MAX(0,1-MIN(1,Inputs!$C$23+(B68-C68)*Inputs!$C$24))*0.5</f>
        <v>0.5265</v>
      </c>
      <c r="N68" s="13" t="n">
        <f aca="false">ROUND(F68*(0.5+(B68-C68)*0.005),0)</f>
        <v>33</v>
      </c>
      <c r="O68" s="13" t="n">
        <f aca="false">F68-N68</f>
        <v>44</v>
      </c>
      <c r="P68" s="14" t="n">
        <f aca="false">N68*MAX(0,MIN(1,Inputs!$C$32+(D68-E68)*Inputs!$C$33))</f>
        <v>10.23</v>
      </c>
      <c r="Q68" s="14" t="n">
        <f aca="false">O68*MAX(0,MIN(1,Inputs!$C$32+(E68-D68)*Inputs!$C$33))</f>
        <v>8.36</v>
      </c>
      <c r="R68" s="13" t="n">
        <f aca="false">ROUND(P68*Inputs!$C$31,0)</f>
        <v>3</v>
      </c>
      <c r="S68" s="13" t="n">
        <f aca="false">ROUND(Q68*Inputs!$C$31,0)</f>
        <v>3</v>
      </c>
      <c r="T68" s="14" t="n">
        <f aca="false">J68+L68+I68*Inputs!$C$28*0.5</f>
        <v>5.6475</v>
      </c>
      <c r="U68" s="14" t="n">
        <f aca="false">K68+M68+I68*Inputs!$C$28*0.5</f>
        <v>6.1725</v>
      </c>
      <c r="V68" s="14" t="n">
        <f aca="false">T68*Inputs!$C$36</f>
        <v>3.95325</v>
      </c>
      <c r="W68" s="14" t="n">
        <f aca="false">U68*Inputs!$C$36</f>
        <v>4.32075</v>
      </c>
      <c r="X68" s="14" t="n">
        <f aca="false">V68*Inputs!$C$37</f>
        <v>2.5696125</v>
      </c>
      <c r="Y68" s="14" t="n">
        <f aca="false">W68*Inputs!$C$37</f>
        <v>2.8084875</v>
      </c>
      <c r="Z68" s="14" t="n">
        <f aca="false">R68*Inputs!$C$38</f>
        <v>2.25</v>
      </c>
      <c r="AA68" s="14" t="n">
        <f aca="false">S68*Inputs!$C$38</f>
        <v>2.25</v>
      </c>
      <c r="AB68" s="13" t="n">
        <f aca="false">ROUND(R68*5+Z68*2+X68*3,0)</f>
        <v>27</v>
      </c>
      <c r="AC68" s="13" t="n">
        <f aca="false">ROUND(S68*5+AA68*2+Y68*3,0)</f>
        <v>28</v>
      </c>
      <c r="AD68" s="13" t="n">
        <f aca="true">IF(RAND()&lt;Inputs!$C$41,1,0)+IF(RAND()&lt;Inputs!$C$41,1,0)</f>
        <v>0</v>
      </c>
      <c r="AE68" s="13" t="n">
        <f aca="true">IF(RAND()&lt;Inputs!$C$42,1,0)+IF(RAND()&lt;Inputs!$C$42,1,0)</f>
        <v>0</v>
      </c>
      <c r="AF68" s="13" t="n">
        <f aca="false">AB68+AC68</f>
        <v>55</v>
      </c>
      <c r="AG68" s="13" t="n">
        <f aca="false">ABS(AB68-AC68)</f>
        <v>1</v>
      </c>
      <c r="AH68" s="13" t="n">
        <f aca="false">R68+S68</f>
        <v>6</v>
      </c>
      <c r="AI68" s="14" t="n">
        <f aca="false">V68+W68</f>
        <v>8.274</v>
      </c>
      <c r="AJ68" s="14" t="n">
        <f aca="false">X68+Y68</f>
        <v>5.3781</v>
      </c>
      <c r="AK68" s="13" t="n">
        <f aca="false">IF(AB68=AC68,1,0)</f>
        <v>0</v>
      </c>
    </row>
    <row r="69" customFormat="false" ht="15" hidden="false" customHeight="false" outlineLevel="0" collapsed="false">
      <c r="A69" s="12" t="n">
        <v>66</v>
      </c>
      <c r="B69" s="13" t="n">
        <f aca="true">ROUND(MAX(30,MIN(95,Inputs!$C$11+(RAND()+RAND()+RAND()-1.5)*Inputs!$C$12*2)),0)</f>
        <v>89</v>
      </c>
      <c r="C69" s="13" t="n">
        <f aca="true">ROUND(MAX(30,MIN(95,Inputs!$C$11+(RAND()+RAND()+RAND()-1.5)*Inputs!$C$12*2)),0)</f>
        <v>80</v>
      </c>
      <c r="D69" s="13" t="n">
        <f aca="true">ROUND(MAX(30,MIN(95,Inputs!$C$13+(RAND()+RAND()+RAND()-1.5)*Inputs!$C$14*2)),0)</f>
        <v>74</v>
      </c>
      <c r="E69" s="13" t="n">
        <f aca="true">ROUND(MAX(30,MIN(95,Inputs!$C$13+(RAND()+RAND()+RAND()-1.5)*Inputs!$C$14*2)),0)</f>
        <v>65</v>
      </c>
      <c r="F69" s="13" t="n">
        <f aca="false">RANDBETWEEN(Inputs!$C$5,Inputs!$C$6)</f>
        <v>86</v>
      </c>
      <c r="G69" s="13" t="n">
        <f aca="false">ROUND(F69*Inputs!$C$7*Inputs!$C$8,0)</f>
        <v>6</v>
      </c>
      <c r="H69" s="13" t="n">
        <f aca="false">ROUND(F69*Inputs!$C$7*(1-Inputs!$C$8),0)</f>
        <v>15</v>
      </c>
      <c r="I69" s="13" t="n">
        <f aca="false">F69-G69-H69</f>
        <v>65</v>
      </c>
      <c r="J69" s="14" t="n">
        <f aca="false">(G69/2)*MAX(0,MIN(1,Inputs!$C$19+(B69-C69)*Inputs!$C$20))</f>
        <v>0.381</v>
      </c>
      <c r="K69" s="14" t="n">
        <f aca="false">(G69/2)*MAX(0,MIN(1,Inputs!$C$19+(C69-B69)*Inputs!$C$20))</f>
        <v>0.219</v>
      </c>
      <c r="L69" s="14" t="n">
        <f aca="false">(H69/2)*MAX(0,1-MIN(1,Inputs!$C$23+(C69-B69)*Inputs!$C$24))*0.5</f>
        <v>0.55125</v>
      </c>
      <c r="M69" s="14" t="n">
        <f aca="false">(H69/2)*MAX(0,1-MIN(1,Inputs!$C$23+(B69-C69)*Inputs!$C$24))*0.5</f>
        <v>0.34875</v>
      </c>
      <c r="N69" s="13" t="n">
        <f aca="false">ROUND(F69*(0.5+(B69-C69)*0.005),0)</f>
        <v>47</v>
      </c>
      <c r="O69" s="13" t="n">
        <f aca="false">F69-N69</f>
        <v>39</v>
      </c>
      <c r="P69" s="14" t="n">
        <f aca="false">N69*MAX(0,MIN(1,Inputs!$C$32+(D69-E69)*Inputs!$C$33))</f>
        <v>13.019</v>
      </c>
      <c r="Q69" s="14" t="n">
        <f aca="false">O69*MAX(0,MIN(1,Inputs!$C$32+(E69-D69)*Inputs!$C$33))</f>
        <v>8.697</v>
      </c>
      <c r="R69" s="13" t="n">
        <f aca="false">ROUND(P69*Inputs!$C$31,0)</f>
        <v>4</v>
      </c>
      <c r="S69" s="13" t="n">
        <f aca="false">ROUND(Q69*Inputs!$C$31,0)</f>
        <v>3</v>
      </c>
      <c r="T69" s="14" t="n">
        <f aca="false">J69+L69+I69*Inputs!$C$28*0.5</f>
        <v>6.78225</v>
      </c>
      <c r="U69" s="14" t="n">
        <f aca="false">K69+M69+I69*Inputs!$C$28*0.5</f>
        <v>6.41775</v>
      </c>
      <c r="V69" s="14" t="n">
        <f aca="false">T69*Inputs!$C$36</f>
        <v>4.747575</v>
      </c>
      <c r="W69" s="14" t="n">
        <f aca="false">U69*Inputs!$C$36</f>
        <v>4.492425</v>
      </c>
      <c r="X69" s="14" t="n">
        <f aca="false">V69*Inputs!$C$37</f>
        <v>3.08592375</v>
      </c>
      <c r="Y69" s="14" t="n">
        <f aca="false">W69*Inputs!$C$37</f>
        <v>2.92007625</v>
      </c>
      <c r="Z69" s="14" t="n">
        <f aca="false">R69*Inputs!$C$38</f>
        <v>3</v>
      </c>
      <c r="AA69" s="14" t="n">
        <f aca="false">S69*Inputs!$C$38</f>
        <v>2.25</v>
      </c>
      <c r="AB69" s="13" t="n">
        <f aca="false">ROUND(R69*5+Z69*2+X69*3,0)</f>
        <v>35</v>
      </c>
      <c r="AC69" s="13" t="n">
        <f aca="false">ROUND(S69*5+AA69*2+Y69*3,0)</f>
        <v>28</v>
      </c>
      <c r="AD69" s="13" t="n">
        <f aca="true">IF(RAND()&lt;Inputs!$C$41,1,0)+IF(RAND()&lt;Inputs!$C$41,1,0)</f>
        <v>0</v>
      </c>
      <c r="AE69" s="13" t="n">
        <f aca="true">IF(RAND()&lt;Inputs!$C$42,1,0)+IF(RAND()&lt;Inputs!$C$42,1,0)</f>
        <v>0</v>
      </c>
      <c r="AF69" s="13" t="n">
        <f aca="false">AB69+AC69</f>
        <v>63</v>
      </c>
      <c r="AG69" s="13" t="n">
        <f aca="false">ABS(AB69-AC69)</f>
        <v>7</v>
      </c>
      <c r="AH69" s="13" t="n">
        <f aca="false">R69+S69</f>
        <v>7</v>
      </c>
      <c r="AI69" s="14" t="n">
        <f aca="false">V69+W69</f>
        <v>9.24</v>
      </c>
      <c r="AJ69" s="14" t="n">
        <f aca="false">X69+Y69</f>
        <v>6.006</v>
      </c>
      <c r="AK69" s="13" t="n">
        <f aca="false">IF(AB69=AC69,1,0)</f>
        <v>0</v>
      </c>
    </row>
    <row r="70" customFormat="false" ht="15" hidden="false" customHeight="false" outlineLevel="0" collapsed="false">
      <c r="A70" s="12" t="n">
        <v>67</v>
      </c>
      <c r="B70" s="13" t="n">
        <f aca="true">ROUND(MAX(30,MIN(95,Inputs!$C$11+(RAND()+RAND()+RAND()-1.5)*Inputs!$C$12*2)),0)</f>
        <v>77</v>
      </c>
      <c r="C70" s="13" t="n">
        <f aca="true">ROUND(MAX(30,MIN(95,Inputs!$C$11+(RAND()+RAND()+RAND()-1.5)*Inputs!$C$12*2)),0)</f>
        <v>45</v>
      </c>
      <c r="D70" s="13" t="n">
        <f aca="true">ROUND(MAX(30,MIN(95,Inputs!$C$13+(RAND()+RAND()+RAND()-1.5)*Inputs!$C$14*2)),0)</f>
        <v>78</v>
      </c>
      <c r="E70" s="13" t="n">
        <f aca="true">ROUND(MAX(30,MIN(95,Inputs!$C$13+(RAND()+RAND()+RAND()-1.5)*Inputs!$C$14*2)),0)</f>
        <v>78</v>
      </c>
      <c r="F70" s="13" t="n">
        <f aca="false">RANDBETWEEN(Inputs!$C$5,Inputs!$C$6)</f>
        <v>82</v>
      </c>
      <c r="G70" s="13" t="n">
        <f aca="false">ROUND(F70*Inputs!$C$7*Inputs!$C$8,0)</f>
        <v>6</v>
      </c>
      <c r="H70" s="13" t="n">
        <f aca="false">ROUND(F70*Inputs!$C$7*(1-Inputs!$C$8),0)</f>
        <v>14</v>
      </c>
      <c r="I70" s="13" t="n">
        <f aca="false">F70-G70-H70</f>
        <v>62</v>
      </c>
      <c r="J70" s="14" t="n">
        <f aca="false">(G70/2)*MAX(0,MIN(1,Inputs!$C$19+(B70-C70)*Inputs!$C$20))</f>
        <v>0.588</v>
      </c>
      <c r="K70" s="14" t="n">
        <f aca="false">(G70/2)*MAX(0,MIN(1,Inputs!$C$19+(C70-B70)*Inputs!$C$20))</f>
        <v>0.012</v>
      </c>
      <c r="L70" s="14" t="n">
        <f aca="false">(H70/2)*MAX(0,1-MIN(1,Inputs!$C$23+(C70-B70)*Inputs!$C$24))*0.5</f>
        <v>0.756</v>
      </c>
      <c r="M70" s="14" t="n">
        <f aca="false">(H70/2)*MAX(0,1-MIN(1,Inputs!$C$23+(B70-C70)*Inputs!$C$24))*0.5</f>
        <v>0.0840000000000001</v>
      </c>
      <c r="N70" s="13" t="n">
        <f aca="false">ROUND(F70*(0.5+(B70-C70)*0.005),0)</f>
        <v>54</v>
      </c>
      <c r="O70" s="13" t="n">
        <f aca="false">F70-N70</f>
        <v>28</v>
      </c>
      <c r="P70" s="14" t="n">
        <f aca="false">N70*MAX(0,MIN(1,Inputs!$C$32+(D70-E70)*Inputs!$C$33))</f>
        <v>13.5</v>
      </c>
      <c r="Q70" s="14" t="n">
        <f aca="false">O70*MAX(0,MIN(1,Inputs!$C$32+(E70-D70)*Inputs!$C$33))</f>
        <v>7</v>
      </c>
      <c r="R70" s="13" t="n">
        <f aca="false">ROUND(P70*Inputs!$C$31,0)</f>
        <v>4</v>
      </c>
      <c r="S70" s="13" t="n">
        <f aca="false">ROUND(Q70*Inputs!$C$31,0)</f>
        <v>2</v>
      </c>
      <c r="T70" s="14" t="n">
        <f aca="false">J70+L70+I70*Inputs!$C$28*0.5</f>
        <v>6.924</v>
      </c>
      <c r="U70" s="14" t="n">
        <f aca="false">K70+M70+I70*Inputs!$C$28*0.5</f>
        <v>5.676</v>
      </c>
      <c r="V70" s="14" t="n">
        <f aca="false">T70*Inputs!$C$36</f>
        <v>4.8468</v>
      </c>
      <c r="W70" s="14" t="n">
        <f aca="false">U70*Inputs!$C$36</f>
        <v>3.9732</v>
      </c>
      <c r="X70" s="14" t="n">
        <f aca="false">V70*Inputs!$C$37</f>
        <v>3.15042</v>
      </c>
      <c r="Y70" s="14" t="n">
        <f aca="false">W70*Inputs!$C$37</f>
        <v>2.58258</v>
      </c>
      <c r="Z70" s="14" t="n">
        <f aca="false">R70*Inputs!$C$38</f>
        <v>3</v>
      </c>
      <c r="AA70" s="14" t="n">
        <f aca="false">S70*Inputs!$C$38</f>
        <v>1.5</v>
      </c>
      <c r="AB70" s="13" t="n">
        <f aca="false">ROUND(R70*5+Z70*2+X70*3,0)</f>
        <v>35</v>
      </c>
      <c r="AC70" s="13" t="n">
        <f aca="false">ROUND(S70*5+AA70*2+Y70*3,0)</f>
        <v>21</v>
      </c>
      <c r="AD70" s="13" t="n">
        <f aca="true">IF(RAND()&lt;Inputs!$C$41,1,0)+IF(RAND()&lt;Inputs!$C$41,1,0)</f>
        <v>1</v>
      </c>
      <c r="AE70" s="13" t="n">
        <f aca="true">IF(RAND()&lt;Inputs!$C$42,1,0)+IF(RAND()&lt;Inputs!$C$42,1,0)</f>
        <v>0</v>
      </c>
      <c r="AF70" s="13" t="n">
        <f aca="false">AB70+AC70</f>
        <v>56</v>
      </c>
      <c r="AG70" s="13" t="n">
        <f aca="false">ABS(AB70-AC70)</f>
        <v>14</v>
      </c>
      <c r="AH70" s="13" t="n">
        <f aca="false">R70+S70</f>
        <v>6</v>
      </c>
      <c r="AI70" s="14" t="n">
        <f aca="false">V70+W70</f>
        <v>8.82</v>
      </c>
      <c r="AJ70" s="14" t="n">
        <f aca="false">X70+Y70</f>
        <v>5.733</v>
      </c>
      <c r="AK70" s="13" t="n">
        <f aca="false">IF(AB70=AC70,1,0)</f>
        <v>0</v>
      </c>
    </row>
    <row r="71" customFormat="false" ht="15" hidden="false" customHeight="false" outlineLevel="0" collapsed="false">
      <c r="A71" s="12" t="n">
        <v>68</v>
      </c>
      <c r="B71" s="13" t="n">
        <f aca="true">ROUND(MAX(30,MIN(95,Inputs!$C$11+(RAND()+RAND()+RAND()-1.5)*Inputs!$C$12*2)),0)</f>
        <v>51</v>
      </c>
      <c r="C71" s="13" t="n">
        <f aca="true">ROUND(MAX(30,MIN(95,Inputs!$C$11+(RAND()+RAND()+RAND()-1.5)*Inputs!$C$12*2)),0)</f>
        <v>54</v>
      </c>
      <c r="D71" s="13" t="n">
        <f aca="true">ROUND(MAX(30,MIN(95,Inputs!$C$13+(RAND()+RAND()+RAND()-1.5)*Inputs!$C$14*2)),0)</f>
        <v>77</v>
      </c>
      <c r="E71" s="13" t="n">
        <f aca="true">ROUND(MAX(30,MIN(95,Inputs!$C$13+(RAND()+RAND()+RAND()-1.5)*Inputs!$C$14*2)),0)</f>
        <v>57</v>
      </c>
      <c r="F71" s="13" t="n">
        <f aca="false">RANDBETWEEN(Inputs!$C$5,Inputs!$C$6)</f>
        <v>69</v>
      </c>
      <c r="G71" s="13" t="n">
        <f aca="false">ROUND(F71*Inputs!$C$7*Inputs!$C$8,0)</f>
        <v>5</v>
      </c>
      <c r="H71" s="13" t="n">
        <f aca="false">ROUND(F71*Inputs!$C$7*(1-Inputs!$C$8),0)</f>
        <v>12</v>
      </c>
      <c r="I71" s="13" t="n">
        <f aca="false">F71-G71-H71</f>
        <v>52</v>
      </c>
      <c r="J71" s="14" t="n">
        <f aca="false">(G71/2)*MAX(0,MIN(1,Inputs!$C$19+(B71-C71)*Inputs!$C$20))</f>
        <v>0.2275</v>
      </c>
      <c r="K71" s="14" t="n">
        <f aca="false">(G71/2)*MAX(0,MIN(1,Inputs!$C$19+(C71-B71)*Inputs!$C$20))</f>
        <v>0.2725</v>
      </c>
      <c r="L71" s="14" t="n">
        <f aca="false">(H71/2)*MAX(0,1-MIN(1,Inputs!$C$23+(C71-B71)*Inputs!$C$24))*0.5</f>
        <v>0.333</v>
      </c>
      <c r="M71" s="14" t="n">
        <f aca="false">(H71/2)*MAX(0,1-MIN(1,Inputs!$C$23+(B71-C71)*Inputs!$C$24))*0.5</f>
        <v>0.387</v>
      </c>
      <c r="N71" s="13" t="n">
        <f aca="false">ROUND(F71*(0.5+(B71-C71)*0.005),0)</f>
        <v>33</v>
      </c>
      <c r="O71" s="13" t="n">
        <f aca="false">F71-N71</f>
        <v>36</v>
      </c>
      <c r="P71" s="14" t="n">
        <f aca="false">N71*MAX(0,MIN(1,Inputs!$C$32+(D71-E71)*Inputs!$C$33))</f>
        <v>10.23</v>
      </c>
      <c r="Q71" s="14" t="n">
        <f aca="false">O71*MAX(0,MIN(1,Inputs!$C$32+(E71-D71)*Inputs!$C$33))</f>
        <v>6.84</v>
      </c>
      <c r="R71" s="13" t="n">
        <f aca="false">ROUND(P71*Inputs!$C$31,0)</f>
        <v>3</v>
      </c>
      <c r="S71" s="13" t="n">
        <f aca="false">ROUND(Q71*Inputs!$C$31,0)</f>
        <v>2</v>
      </c>
      <c r="T71" s="14" t="n">
        <f aca="false">J71+L71+I71*Inputs!$C$28*0.5</f>
        <v>5.2405</v>
      </c>
      <c r="U71" s="14" t="n">
        <f aca="false">K71+M71+I71*Inputs!$C$28*0.5</f>
        <v>5.3395</v>
      </c>
      <c r="V71" s="14" t="n">
        <f aca="false">T71*Inputs!$C$36</f>
        <v>3.66835</v>
      </c>
      <c r="W71" s="14" t="n">
        <f aca="false">U71*Inputs!$C$36</f>
        <v>3.73765</v>
      </c>
      <c r="X71" s="14" t="n">
        <f aca="false">V71*Inputs!$C$37</f>
        <v>2.3844275</v>
      </c>
      <c r="Y71" s="14" t="n">
        <f aca="false">W71*Inputs!$C$37</f>
        <v>2.4294725</v>
      </c>
      <c r="Z71" s="14" t="n">
        <f aca="false">R71*Inputs!$C$38</f>
        <v>2.25</v>
      </c>
      <c r="AA71" s="14" t="n">
        <f aca="false">S71*Inputs!$C$38</f>
        <v>1.5</v>
      </c>
      <c r="AB71" s="13" t="n">
        <f aca="false">ROUND(R71*5+Z71*2+X71*3,0)</f>
        <v>27</v>
      </c>
      <c r="AC71" s="13" t="n">
        <f aca="false">ROUND(S71*5+AA71*2+Y71*3,0)</f>
        <v>20</v>
      </c>
      <c r="AD71" s="13" t="n">
        <f aca="true">IF(RAND()&lt;Inputs!$C$41,1,0)+IF(RAND()&lt;Inputs!$C$41,1,0)</f>
        <v>0</v>
      </c>
      <c r="AE71" s="13" t="n">
        <f aca="true">IF(RAND()&lt;Inputs!$C$42,1,0)+IF(RAND()&lt;Inputs!$C$42,1,0)</f>
        <v>0</v>
      </c>
      <c r="AF71" s="13" t="n">
        <f aca="false">AB71+AC71</f>
        <v>47</v>
      </c>
      <c r="AG71" s="13" t="n">
        <f aca="false">ABS(AB71-AC71)</f>
        <v>7</v>
      </c>
      <c r="AH71" s="13" t="n">
        <f aca="false">R71+S71</f>
        <v>5</v>
      </c>
      <c r="AI71" s="14" t="n">
        <f aca="false">V71+W71</f>
        <v>7.406</v>
      </c>
      <c r="AJ71" s="14" t="n">
        <f aca="false">X71+Y71</f>
        <v>4.8139</v>
      </c>
      <c r="AK71" s="13" t="n">
        <f aca="false">IF(AB71=AC71,1,0)</f>
        <v>0</v>
      </c>
    </row>
    <row r="72" customFormat="false" ht="15" hidden="false" customHeight="false" outlineLevel="0" collapsed="false">
      <c r="A72" s="12" t="n">
        <v>69</v>
      </c>
      <c r="B72" s="13" t="n">
        <f aca="true">ROUND(MAX(30,MIN(95,Inputs!$C$11+(RAND()+RAND()+RAND()-1.5)*Inputs!$C$12*2)),0)</f>
        <v>59</v>
      </c>
      <c r="C72" s="13" t="n">
        <f aca="true">ROUND(MAX(30,MIN(95,Inputs!$C$11+(RAND()+RAND()+RAND()-1.5)*Inputs!$C$12*2)),0)</f>
        <v>59</v>
      </c>
      <c r="D72" s="13" t="n">
        <f aca="true">ROUND(MAX(30,MIN(95,Inputs!$C$13+(RAND()+RAND()+RAND()-1.5)*Inputs!$C$14*2)),0)</f>
        <v>65</v>
      </c>
      <c r="E72" s="13" t="n">
        <f aca="true">ROUND(MAX(30,MIN(95,Inputs!$C$13+(RAND()+RAND()+RAND()-1.5)*Inputs!$C$14*2)),0)</f>
        <v>58</v>
      </c>
      <c r="F72" s="13" t="n">
        <f aca="false">RANDBETWEEN(Inputs!$C$5,Inputs!$C$6)</f>
        <v>87</v>
      </c>
      <c r="G72" s="13" t="n">
        <f aca="false">ROUND(F72*Inputs!$C$7*Inputs!$C$8,0)</f>
        <v>7</v>
      </c>
      <c r="H72" s="13" t="n">
        <f aca="false">ROUND(F72*Inputs!$C$7*(1-Inputs!$C$8),0)</f>
        <v>15</v>
      </c>
      <c r="I72" s="13" t="n">
        <f aca="false">F72-G72-H72</f>
        <v>65</v>
      </c>
      <c r="J72" s="14" t="n">
        <f aca="false">(G72/2)*MAX(0,MIN(1,Inputs!$C$19+(B72-C72)*Inputs!$C$20))</f>
        <v>0.35</v>
      </c>
      <c r="K72" s="14" t="n">
        <f aca="false">(G72/2)*MAX(0,MIN(1,Inputs!$C$19+(C72-B72)*Inputs!$C$20))</f>
        <v>0.35</v>
      </c>
      <c r="L72" s="14" t="n">
        <f aca="false">(H72/2)*MAX(0,1-MIN(1,Inputs!$C$23+(C72-B72)*Inputs!$C$24))*0.5</f>
        <v>0.45</v>
      </c>
      <c r="M72" s="14" t="n">
        <f aca="false">(H72/2)*MAX(0,1-MIN(1,Inputs!$C$23+(B72-C72)*Inputs!$C$24))*0.5</f>
        <v>0.45</v>
      </c>
      <c r="N72" s="13" t="n">
        <f aca="false">ROUND(F72*(0.5+(B72-C72)*0.005),0)</f>
        <v>44</v>
      </c>
      <c r="O72" s="13" t="n">
        <f aca="false">F72-N72</f>
        <v>43</v>
      </c>
      <c r="P72" s="14" t="n">
        <f aca="false">N72*MAX(0,MIN(1,Inputs!$C$32+(D72-E72)*Inputs!$C$33))</f>
        <v>11.924</v>
      </c>
      <c r="Q72" s="14" t="n">
        <f aca="false">O72*MAX(0,MIN(1,Inputs!$C$32+(E72-D72)*Inputs!$C$33))</f>
        <v>9.847</v>
      </c>
      <c r="R72" s="13" t="n">
        <f aca="false">ROUND(P72*Inputs!$C$31,0)</f>
        <v>4</v>
      </c>
      <c r="S72" s="13" t="n">
        <f aca="false">ROUND(Q72*Inputs!$C$31,0)</f>
        <v>3</v>
      </c>
      <c r="T72" s="14" t="n">
        <f aca="false">J72+L72+I72*Inputs!$C$28*0.5</f>
        <v>6.65</v>
      </c>
      <c r="U72" s="14" t="n">
        <f aca="false">K72+M72+I72*Inputs!$C$28*0.5</f>
        <v>6.65</v>
      </c>
      <c r="V72" s="14" t="n">
        <f aca="false">T72*Inputs!$C$36</f>
        <v>4.655</v>
      </c>
      <c r="W72" s="14" t="n">
        <f aca="false">U72*Inputs!$C$36</f>
        <v>4.655</v>
      </c>
      <c r="X72" s="14" t="n">
        <f aca="false">V72*Inputs!$C$37</f>
        <v>3.02575</v>
      </c>
      <c r="Y72" s="14" t="n">
        <f aca="false">W72*Inputs!$C$37</f>
        <v>3.02575</v>
      </c>
      <c r="Z72" s="14" t="n">
        <f aca="false">R72*Inputs!$C$38</f>
        <v>3</v>
      </c>
      <c r="AA72" s="14" t="n">
        <f aca="false">S72*Inputs!$C$38</f>
        <v>2.25</v>
      </c>
      <c r="AB72" s="13" t="n">
        <f aca="false">ROUND(R72*5+Z72*2+X72*3,0)</f>
        <v>35</v>
      </c>
      <c r="AC72" s="13" t="n">
        <f aca="false">ROUND(S72*5+AA72*2+Y72*3,0)</f>
        <v>29</v>
      </c>
      <c r="AD72" s="13" t="n">
        <f aca="true">IF(RAND()&lt;Inputs!$C$41,1,0)+IF(RAND()&lt;Inputs!$C$41,1,0)</f>
        <v>1</v>
      </c>
      <c r="AE72" s="13" t="n">
        <f aca="true">IF(RAND()&lt;Inputs!$C$42,1,0)+IF(RAND()&lt;Inputs!$C$42,1,0)</f>
        <v>0</v>
      </c>
      <c r="AF72" s="13" t="n">
        <f aca="false">AB72+AC72</f>
        <v>64</v>
      </c>
      <c r="AG72" s="13" t="n">
        <f aca="false">ABS(AB72-AC72)</f>
        <v>6</v>
      </c>
      <c r="AH72" s="13" t="n">
        <f aca="false">R72+S72</f>
        <v>7</v>
      </c>
      <c r="AI72" s="14" t="n">
        <f aca="false">V72+W72</f>
        <v>9.31</v>
      </c>
      <c r="AJ72" s="14" t="n">
        <f aca="false">X72+Y72</f>
        <v>6.0515</v>
      </c>
      <c r="AK72" s="13" t="n">
        <f aca="false">IF(AB72=AC72,1,0)</f>
        <v>0</v>
      </c>
    </row>
    <row r="73" customFormat="false" ht="15" hidden="false" customHeight="false" outlineLevel="0" collapsed="false">
      <c r="A73" s="12" t="n">
        <v>70</v>
      </c>
      <c r="B73" s="13" t="n">
        <f aca="true">ROUND(MAX(30,MIN(95,Inputs!$C$11+(RAND()+RAND()+RAND()-1.5)*Inputs!$C$12*2)),0)</f>
        <v>61</v>
      </c>
      <c r="C73" s="13" t="n">
        <f aca="true">ROUND(MAX(30,MIN(95,Inputs!$C$11+(RAND()+RAND()+RAND()-1.5)*Inputs!$C$12*2)),0)</f>
        <v>70</v>
      </c>
      <c r="D73" s="13" t="n">
        <f aca="true">ROUND(MAX(30,MIN(95,Inputs!$C$13+(RAND()+RAND()+RAND()-1.5)*Inputs!$C$14*2)),0)</f>
        <v>50</v>
      </c>
      <c r="E73" s="13" t="n">
        <f aca="true">ROUND(MAX(30,MIN(95,Inputs!$C$13+(RAND()+RAND()+RAND()-1.5)*Inputs!$C$14*2)),0)</f>
        <v>67</v>
      </c>
      <c r="F73" s="13" t="n">
        <f aca="false">RANDBETWEEN(Inputs!$C$5,Inputs!$C$6)</f>
        <v>90</v>
      </c>
      <c r="G73" s="13" t="n">
        <f aca="false">ROUND(F73*Inputs!$C$7*Inputs!$C$8,0)</f>
        <v>7</v>
      </c>
      <c r="H73" s="13" t="n">
        <f aca="false">ROUND(F73*Inputs!$C$7*(1-Inputs!$C$8),0)</f>
        <v>16</v>
      </c>
      <c r="I73" s="13" t="n">
        <f aca="false">F73-G73-H73</f>
        <v>67</v>
      </c>
      <c r="J73" s="14" t="n">
        <f aca="false">(G73/2)*MAX(0,MIN(1,Inputs!$C$19+(B73-C73)*Inputs!$C$20))</f>
        <v>0.2555</v>
      </c>
      <c r="K73" s="14" t="n">
        <f aca="false">(G73/2)*MAX(0,MIN(1,Inputs!$C$19+(C73-B73)*Inputs!$C$20))</f>
        <v>0.4445</v>
      </c>
      <c r="L73" s="14" t="n">
        <f aca="false">(H73/2)*MAX(0,1-MIN(1,Inputs!$C$23+(C73-B73)*Inputs!$C$24))*0.5</f>
        <v>0.372</v>
      </c>
      <c r="M73" s="14" t="n">
        <f aca="false">(H73/2)*MAX(0,1-MIN(1,Inputs!$C$23+(B73-C73)*Inputs!$C$24))*0.5</f>
        <v>0.588</v>
      </c>
      <c r="N73" s="13" t="n">
        <f aca="false">ROUND(F73*(0.5+(B73-C73)*0.005),0)</f>
        <v>41</v>
      </c>
      <c r="O73" s="13" t="n">
        <f aca="false">F73-N73</f>
        <v>49</v>
      </c>
      <c r="P73" s="14" t="n">
        <f aca="false">N73*MAX(0,MIN(1,Inputs!$C$32+(D73-E73)*Inputs!$C$33))</f>
        <v>8.159</v>
      </c>
      <c r="Q73" s="14" t="n">
        <f aca="false">O73*MAX(0,MIN(1,Inputs!$C$32+(E73-D73)*Inputs!$C$33))</f>
        <v>14.749</v>
      </c>
      <c r="R73" s="13" t="n">
        <f aca="false">ROUND(P73*Inputs!$C$31,0)</f>
        <v>2</v>
      </c>
      <c r="S73" s="13" t="n">
        <f aca="false">ROUND(Q73*Inputs!$C$31,0)</f>
        <v>4</v>
      </c>
      <c r="T73" s="14" t="n">
        <f aca="false">J73+L73+I73*Inputs!$C$28*0.5</f>
        <v>6.6575</v>
      </c>
      <c r="U73" s="14" t="n">
        <f aca="false">K73+M73+I73*Inputs!$C$28*0.5</f>
        <v>7.0625</v>
      </c>
      <c r="V73" s="14" t="n">
        <f aca="false">T73*Inputs!$C$36</f>
        <v>4.66025</v>
      </c>
      <c r="W73" s="14" t="n">
        <f aca="false">U73*Inputs!$C$36</f>
        <v>4.94375</v>
      </c>
      <c r="X73" s="14" t="n">
        <f aca="false">V73*Inputs!$C$37</f>
        <v>3.0291625</v>
      </c>
      <c r="Y73" s="14" t="n">
        <f aca="false">W73*Inputs!$C$37</f>
        <v>3.2134375</v>
      </c>
      <c r="Z73" s="14" t="n">
        <f aca="false">R73*Inputs!$C$38</f>
        <v>1.5</v>
      </c>
      <c r="AA73" s="14" t="n">
        <f aca="false">S73*Inputs!$C$38</f>
        <v>3</v>
      </c>
      <c r="AB73" s="13" t="n">
        <f aca="false">ROUND(R73*5+Z73*2+X73*3,0)</f>
        <v>22</v>
      </c>
      <c r="AC73" s="13" t="n">
        <f aca="false">ROUND(S73*5+AA73*2+Y73*3,0)</f>
        <v>36</v>
      </c>
      <c r="AD73" s="13" t="n">
        <f aca="true">IF(RAND()&lt;Inputs!$C$41,1,0)+IF(RAND()&lt;Inputs!$C$41,1,0)</f>
        <v>1</v>
      </c>
      <c r="AE73" s="13" t="n">
        <f aca="true">IF(RAND()&lt;Inputs!$C$42,1,0)+IF(RAND()&lt;Inputs!$C$42,1,0)</f>
        <v>0</v>
      </c>
      <c r="AF73" s="13" t="n">
        <f aca="false">AB73+AC73</f>
        <v>58</v>
      </c>
      <c r="AG73" s="13" t="n">
        <f aca="false">ABS(AB73-AC73)</f>
        <v>14</v>
      </c>
      <c r="AH73" s="13" t="n">
        <f aca="false">R73+S73</f>
        <v>6</v>
      </c>
      <c r="AI73" s="14" t="n">
        <f aca="false">V73+W73</f>
        <v>9.604</v>
      </c>
      <c r="AJ73" s="14" t="n">
        <f aca="false">X73+Y73</f>
        <v>6.2426</v>
      </c>
      <c r="AK73" s="13" t="n">
        <f aca="false">IF(AB73=AC73,1,0)</f>
        <v>0</v>
      </c>
    </row>
    <row r="74" customFormat="false" ht="15" hidden="false" customHeight="false" outlineLevel="0" collapsed="false">
      <c r="A74" s="12" t="n">
        <v>71</v>
      </c>
      <c r="B74" s="13" t="n">
        <f aca="true">ROUND(MAX(30,MIN(95,Inputs!$C$11+(RAND()+RAND()+RAND()-1.5)*Inputs!$C$12*2)),0)</f>
        <v>59</v>
      </c>
      <c r="C74" s="13" t="n">
        <f aca="true">ROUND(MAX(30,MIN(95,Inputs!$C$11+(RAND()+RAND()+RAND()-1.5)*Inputs!$C$12*2)),0)</f>
        <v>74</v>
      </c>
      <c r="D74" s="13" t="n">
        <f aca="true">ROUND(MAX(30,MIN(95,Inputs!$C$13+(RAND()+RAND()+RAND()-1.5)*Inputs!$C$14*2)),0)</f>
        <v>69</v>
      </c>
      <c r="E74" s="13" t="n">
        <f aca="true">ROUND(MAX(30,MIN(95,Inputs!$C$13+(RAND()+RAND()+RAND()-1.5)*Inputs!$C$14*2)),0)</f>
        <v>81</v>
      </c>
      <c r="F74" s="13" t="n">
        <f aca="false">RANDBETWEEN(Inputs!$C$5,Inputs!$C$6)</f>
        <v>79</v>
      </c>
      <c r="G74" s="13" t="n">
        <f aca="false">ROUND(F74*Inputs!$C$7*Inputs!$C$8,0)</f>
        <v>6</v>
      </c>
      <c r="H74" s="13" t="n">
        <f aca="false">ROUND(F74*Inputs!$C$7*(1-Inputs!$C$8),0)</f>
        <v>14</v>
      </c>
      <c r="I74" s="13" t="n">
        <f aca="false">F74-G74-H74</f>
        <v>59</v>
      </c>
      <c r="J74" s="14" t="n">
        <f aca="false">(G74/2)*MAX(0,MIN(1,Inputs!$C$19+(B74-C74)*Inputs!$C$20))</f>
        <v>0.165</v>
      </c>
      <c r="K74" s="14" t="n">
        <f aca="false">(G74/2)*MAX(0,MIN(1,Inputs!$C$19+(C74-B74)*Inputs!$C$20))</f>
        <v>0.435</v>
      </c>
      <c r="L74" s="14" t="n">
        <f aca="false">(H74/2)*MAX(0,1-MIN(1,Inputs!$C$23+(C74-B74)*Inputs!$C$24))*0.5</f>
        <v>0.2625</v>
      </c>
      <c r="M74" s="14" t="n">
        <f aca="false">(H74/2)*MAX(0,1-MIN(1,Inputs!$C$23+(B74-C74)*Inputs!$C$24))*0.5</f>
        <v>0.5775</v>
      </c>
      <c r="N74" s="13" t="n">
        <f aca="false">ROUND(F74*(0.5+(B74-C74)*0.005),0)</f>
        <v>34</v>
      </c>
      <c r="O74" s="13" t="n">
        <f aca="false">F74-N74</f>
        <v>45</v>
      </c>
      <c r="P74" s="14" t="n">
        <f aca="false">N74*MAX(0,MIN(1,Inputs!$C$32+(D74-E74)*Inputs!$C$33))</f>
        <v>7.276</v>
      </c>
      <c r="Q74" s="14" t="n">
        <f aca="false">O74*MAX(0,MIN(1,Inputs!$C$32+(E74-D74)*Inputs!$C$33))</f>
        <v>12.87</v>
      </c>
      <c r="R74" s="13" t="n">
        <f aca="false">ROUND(P74*Inputs!$C$31,0)</f>
        <v>2</v>
      </c>
      <c r="S74" s="13" t="n">
        <f aca="false">ROUND(Q74*Inputs!$C$31,0)</f>
        <v>4</v>
      </c>
      <c r="T74" s="14" t="n">
        <f aca="false">J74+L74+I74*Inputs!$C$28*0.5</f>
        <v>5.7375</v>
      </c>
      <c r="U74" s="14" t="n">
        <f aca="false">K74+M74+I74*Inputs!$C$28*0.5</f>
        <v>6.3225</v>
      </c>
      <c r="V74" s="14" t="n">
        <f aca="false">T74*Inputs!$C$36</f>
        <v>4.01625</v>
      </c>
      <c r="W74" s="14" t="n">
        <f aca="false">U74*Inputs!$C$36</f>
        <v>4.42575</v>
      </c>
      <c r="X74" s="14" t="n">
        <f aca="false">V74*Inputs!$C$37</f>
        <v>2.6105625</v>
      </c>
      <c r="Y74" s="14" t="n">
        <f aca="false">W74*Inputs!$C$37</f>
        <v>2.8767375</v>
      </c>
      <c r="Z74" s="14" t="n">
        <f aca="false">R74*Inputs!$C$38</f>
        <v>1.5</v>
      </c>
      <c r="AA74" s="14" t="n">
        <f aca="false">S74*Inputs!$C$38</f>
        <v>3</v>
      </c>
      <c r="AB74" s="13" t="n">
        <f aca="false">ROUND(R74*5+Z74*2+X74*3,0)</f>
        <v>21</v>
      </c>
      <c r="AC74" s="13" t="n">
        <f aca="false">ROUND(S74*5+AA74*2+Y74*3,0)</f>
        <v>35</v>
      </c>
      <c r="AD74" s="13" t="n">
        <f aca="true">IF(RAND()&lt;Inputs!$C$41,1,0)+IF(RAND()&lt;Inputs!$C$41,1,0)</f>
        <v>1</v>
      </c>
      <c r="AE74" s="13" t="n">
        <f aca="true">IF(RAND()&lt;Inputs!$C$42,1,0)+IF(RAND()&lt;Inputs!$C$42,1,0)</f>
        <v>0</v>
      </c>
      <c r="AF74" s="13" t="n">
        <f aca="false">AB74+AC74</f>
        <v>56</v>
      </c>
      <c r="AG74" s="13" t="n">
        <f aca="false">ABS(AB74-AC74)</f>
        <v>14</v>
      </c>
      <c r="AH74" s="13" t="n">
        <f aca="false">R74+S74</f>
        <v>6</v>
      </c>
      <c r="AI74" s="14" t="n">
        <f aca="false">V74+W74</f>
        <v>8.442</v>
      </c>
      <c r="AJ74" s="14" t="n">
        <f aca="false">X74+Y74</f>
        <v>5.4873</v>
      </c>
      <c r="AK74" s="13" t="n">
        <f aca="false">IF(AB74=AC74,1,0)</f>
        <v>0</v>
      </c>
    </row>
    <row r="75" customFormat="false" ht="15" hidden="false" customHeight="false" outlineLevel="0" collapsed="false">
      <c r="A75" s="12" t="n">
        <v>72</v>
      </c>
      <c r="B75" s="13" t="n">
        <f aca="true">ROUND(MAX(30,MIN(95,Inputs!$C$11+(RAND()+RAND()+RAND()-1.5)*Inputs!$C$12*2)),0)</f>
        <v>83</v>
      </c>
      <c r="C75" s="13" t="n">
        <f aca="true">ROUND(MAX(30,MIN(95,Inputs!$C$11+(RAND()+RAND()+RAND()-1.5)*Inputs!$C$12*2)),0)</f>
        <v>61</v>
      </c>
      <c r="D75" s="13" t="n">
        <f aca="true">ROUND(MAX(30,MIN(95,Inputs!$C$13+(RAND()+RAND()+RAND()-1.5)*Inputs!$C$14*2)),0)</f>
        <v>62</v>
      </c>
      <c r="E75" s="13" t="n">
        <f aca="true">ROUND(MAX(30,MIN(95,Inputs!$C$13+(RAND()+RAND()+RAND()-1.5)*Inputs!$C$14*2)),0)</f>
        <v>56</v>
      </c>
      <c r="F75" s="13" t="n">
        <f aca="false">RANDBETWEEN(Inputs!$C$5,Inputs!$C$6)</f>
        <v>76</v>
      </c>
      <c r="G75" s="13" t="n">
        <f aca="false">ROUND(F75*Inputs!$C$7*Inputs!$C$8,0)</f>
        <v>6</v>
      </c>
      <c r="H75" s="13" t="n">
        <f aca="false">ROUND(F75*Inputs!$C$7*(1-Inputs!$C$8),0)</f>
        <v>13</v>
      </c>
      <c r="I75" s="13" t="n">
        <f aca="false">F75-G75-H75</f>
        <v>57</v>
      </c>
      <c r="J75" s="14" t="n">
        <f aca="false">(G75/2)*MAX(0,MIN(1,Inputs!$C$19+(B75-C75)*Inputs!$C$20))</f>
        <v>0.498</v>
      </c>
      <c r="K75" s="14" t="n">
        <f aca="false">(G75/2)*MAX(0,MIN(1,Inputs!$C$19+(C75-B75)*Inputs!$C$20))</f>
        <v>0.102</v>
      </c>
      <c r="L75" s="14" t="n">
        <f aca="false">(H75/2)*MAX(0,1-MIN(1,Inputs!$C$23+(C75-B75)*Inputs!$C$24))*0.5</f>
        <v>0.6045</v>
      </c>
      <c r="M75" s="14" t="n">
        <f aca="false">(H75/2)*MAX(0,1-MIN(1,Inputs!$C$23+(B75-C75)*Inputs!$C$24))*0.5</f>
        <v>0.1755</v>
      </c>
      <c r="N75" s="13" t="n">
        <f aca="false">ROUND(F75*(0.5+(B75-C75)*0.005),0)</f>
        <v>46</v>
      </c>
      <c r="O75" s="13" t="n">
        <f aca="false">F75-N75</f>
        <v>30</v>
      </c>
      <c r="P75" s="14" t="n">
        <f aca="false">N75*MAX(0,MIN(1,Inputs!$C$32+(D75-E75)*Inputs!$C$33))</f>
        <v>12.328</v>
      </c>
      <c r="Q75" s="14" t="n">
        <f aca="false">O75*MAX(0,MIN(1,Inputs!$C$32+(E75-D75)*Inputs!$C$33))</f>
        <v>6.96</v>
      </c>
      <c r="R75" s="13" t="n">
        <f aca="false">ROUND(P75*Inputs!$C$31,0)</f>
        <v>4</v>
      </c>
      <c r="S75" s="13" t="n">
        <f aca="false">ROUND(Q75*Inputs!$C$31,0)</f>
        <v>2</v>
      </c>
      <c r="T75" s="14" t="n">
        <f aca="false">J75+L75+I75*Inputs!$C$28*0.5</f>
        <v>6.2325</v>
      </c>
      <c r="U75" s="14" t="n">
        <f aca="false">K75+M75+I75*Inputs!$C$28*0.5</f>
        <v>5.4075</v>
      </c>
      <c r="V75" s="14" t="n">
        <f aca="false">T75*Inputs!$C$36</f>
        <v>4.36275</v>
      </c>
      <c r="W75" s="14" t="n">
        <f aca="false">U75*Inputs!$C$36</f>
        <v>3.78525</v>
      </c>
      <c r="X75" s="14" t="n">
        <f aca="false">V75*Inputs!$C$37</f>
        <v>2.8357875</v>
      </c>
      <c r="Y75" s="14" t="n">
        <f aca="false">W75*Inputs!$C$37</f>
        <v>2.4604125</v>
      </c>
      <c r="Z75" s="14" t="n">
        <f aca="false">R75*Inputs!$C$38</f>
        <v>3</v>
      </c>
      <c r="AA75" s="14" t="n">
        <f aca="false">S75*Inputs!$C$38</f>
        <v>1.5</v>
      </c>
      <c r="AB75" s="13" t="n">
        <f aca="false">ROUND(R75*5+Z75*2+X75*3,0)</f>
        <v>35</v>
      </c>
      <c r="AC75" s="13" t="n">
        <f aca="false">ROUND(S75*5+AA75*2+Y75*3,0)</f>
        <v>20</v>
      </c>
      <c r="AD75" s="13" t="n">
        <f aca="true">IF(RAND()&lt;Inputs!$C$41,1,0)+IF(RAND()&lt;Inputs!$C$41,1,0)</f>
        <v>0</v>
      </c>
      <c r="AE75" s="13" t="n">
        <f aca="true">IF(RAND()&lt;Inputs!$C$42,1,0)+IF(RAND()&lt;Inputs!$C$42,1,0)</f>
        <v>0</v>
      </c>
      <c r="AF75" s="13" t="n">
        <f aca="false">AB75+AC75</f>
        <v>55</v>
      </c>
      <c r="AG75" s="13" t="n">
        <f aca="false">ABS(AB75-AC75)</f>
        <v>15</v>
      </c>
      <c r="AH75" s="13" t="n">
        <f aca="false">R75+S75</f>
        <v>6</v>
      </c>
      <c r="AI75" s="14" t="n">
        <f aca="false">V75+W75</f>
        <v>8.148</v>
      </c>
      <c r="AJ75" s="14" t="n">
        <f aca="false">X75+Y75</f>
        <v>5.2962</v>
      </c>
      <c r="AK75" s="13" t="n">
        <f aca="false">IF(AB75=AC75,1,0)</f>
        <v>0</v>
      </c>
    </row>
    <row r="76" customFormat="false" ht="15" hidden="false" customHeight="false" outlineLevel="0" collapsed="false">
      <c r="A76" s="12" t="n">
        <v>73</v>
      </c>
      <c r="B76" s="13" t="n">
        <f aca="true">ROUND(MAX(30,MIN(95,Inputs!$C$11+(RAND()+RAND()+RAND()-1.5)*Inputs!$C$12*2)),0)</f>
        <v>81</v>
      </c>
      <c r="C76" s="13" t="n">
        <f aca="true">ROUND(MAX(30,MIN(95,Inputs!$C$11+(RAND()+RAND()+RAND()-1.5)*Inputs!$C$12*2)),0)</f>
        <v>72</v>
      </c>
      <c r="D76" s="13" t="n">
        <f aca="true">ROUND(MAX(30,MIN(95,Inputs!$C$13+(RAND()+RAND()+RAND()-1.5)*Inputs!$C$14*2)),0)</f>
        <v>62</v>
      </c>
      <c r="E76" s="13" t="n">
        <f aca="true">ROUND(MAX(30,MIN(95,Inputs!$C$13+(RAND()+RAND()+RAND()-1.5)*Inputs!$C$14*2)),0)</f>
        <v>80</v>
      </c>
      <c r="F76" s="13" t="n">
        <f aca="false">RANDBETWEEN(Inputs!$C$5,Inputs!$C$6)</f>
        <v>83</v>
      </c>
      <c r="G76" s="13" t="n">
        <f aca="false">ROUND(F76*Inputs!$C$7*Inputs!$C$8,0)</f>
        <v>6</v>
      </c>
      <c r="H76" s="13" t="n">
        <f aca="false">ROUND(F76*Inputs!$C$7*(1-Inputs!$C$8),0)</f>
        <v>15</v>
      </c>
      <c r="I76" s="13" t="n">
        <f aca="false">F76-G76-H76</f>
        <v>62</v>
      </c>
      <c r="J76" s="14" t="n">
        <f aca="false">(G76/2)*MAX(0,MIN(1,Inputs!$C$19+(B76-C76)*Inputs!$C$20))</f>
        <v>0.381</v>
      </c>
      <c r="K76" s="14" t="n">
        <f aca="false">(G76/2)*MAX(0,MIN(1,Inputs!$C$19+(C76-B76)*Inputs!$C$20))</f>
        <v>0.219</v>
      </c>
      <c r="L76" s="14" t="n">
        <f aca="false">(H76/2)*MAX(0,1-MIN(1,Inputs!$C$23+(C76-B76)*Inputs!$C$24))*0.5</f>
        <v>0.55125</v>
      </c>
      <c r="M76" s="14" t="n">
        <f aca="false">(H76/2)*MAX(0,1-MIN(1,Inputs!$C$23+(B76-C76)*Inputs!$C$24))*0.5</f>
        <v>0.34875</v>
      </c>
      <c r="N76" s="13" t="n">
        <f aca="false">ROUND(F76*(0.5+(B76-C76)*0.005),0)</f>
        <v>45</v>
      </c>
      <c r="O76" s="13" t="n">
        <f aca="false">F76-N76</f>
        <v>38</v>
      </c>
      <c r="P76" s="14" t="n">
        <f aca="false">N76*MAX(0,MIN(1,Inputs!$C$32+(D76-E76)*Inputs!$C$33))</f>
        <v>8.82</v>
      </c>
      <c r="Q76" s="14" t="n">
        <f aca="false">O76*MAX(0,MIN(1,Inputs!$C$32+(E76-D76)*Inputs!$C$33))</f>
        <v>11.552</v>
      </c>
      <c r="R76" s="13" t="n">
        <f aca="false">ROUND(P76*Inputs!$C$31,0)</f>
        <v>3</v>
      </c>
      <c r="S76" s="13" t="n">
        <f aca="false">ROUND(Q76*Inputs!$C$31,0)</f>
        <v>3</v>
      </c>
      <c r="T76" s="14" t="n">
        <f aca="false">J76+L76+I76*Inputs!$C$28*0.5</f>
        <v>6.51225</v>
      </c>
      <c r="U76" s="14" t="n">
        <f aca="false">K76+M76+I76*Inputs!$C$28*0.5</f>
        <v>6.14775</v>
      </c>
      <c r="V76" s="14" t="n">
        <f aca="false">T76*Inputs!$C$36</f>
        <v>4.558575</v>
      </c>
      <c r="W76" s="14" t="n">
        <f aca="false">U76*Inputs!$C$36</f>
        <v>4.303425</v>
      </c>
      <c r="X76" s="14" t="n">
        <f aca="false">V76*Inputs!$C$37</f>
        <v>2.96307375</v>
      </c>
      <c r="Y76" s="14" t="n">
        <f aca="false">W76*Inputs!$C$37</f>
        <v>2.79722625</v>
      </c>
      <c r="Z76" s="14" t="n">
        <f aca="false">R76*Inputs!$C$38</f>
        <v>2.25</v>
      </c>
      <c r="AA76" s="14" t="n">
        <f aca="false">S76*Inputs!$C$38</f>
        <v>2.25</v>
      </c>
      <c r="AB76" s="13" t="n">
        <f aca="false">ROUND(R76*5+Z76*2+X76*3,0)</f>
        <v>28</v>
      </c>
      <c r="AC76" s="13" t="n">
        <f aca="false">ROUND(S76*5+AA76*2+Y76*3,0)</f>
        <v>28</v>
      </c>
      <c r="AD76" s="13" t="n">
        <f aca="true">IF(RAND()&lt;Inputs!$C$41,1,0)+IF(RAND()&lt;Inputs!$C$41,1,0)</f>
        <v>0</v>
      </c>
      <c r="AE76" s="13" t="n">
        <f aca="true">IF(RAND()&lt;Inputs!$C$42,1,0)+IF(RAND()&lt;Inputs!$C$42,1,0)</f>
        <v>0</v>
      </c>
      <c r="AF76" s="13" t="n">
        <f aca="false">AB76+AC76</f>
        <v>56</v>
      </c>
      <c r="AG76" s="13" t="n">
        <f aca="false">ABS(AB76-AC76)</f>
        <v>0</v>
      </c>
      <c r="AH76" s="13" t="n">
        <f aca="false">R76+S76</f>
        <v>6</v>
      </c>
      <c r="AI76" s="14" t="n">
        <f aca="false">V76+W76</f>
        <v>8.862</v>
      </c>
      <c r="AJ76" s="14" t="n">
        <f aca="false">X76+Y76</f>
        <v>5.7603</v>
      </c>
      <c r="AK76" s="13" t="n">
        <f aca="false">IF(AB76=AC76,1,0)</f>
        <v>1</v>
      </c>
    </row>
    <row r="77" customFormat="false" ht="15" hidden="false" customHeight="false" outlineLevel="0" collapsed="false">
      <c r="A77" s="12" t="n">
        <v>74</v>
      </c>
      <c r="B77" s="13" t="n">
        <f aca="true">ROUND(MAX(30,MIN(95,Inputs!$C$11+(RAND()+RAND()+RAND()-1.5)*Inputs!$C$12*2)),0)</f>
        <v>76</v>
      </c>
      <c r="C77" s="13" t="n">
        <f aca="true">ROUND(MAX(30,MIN(95,Inputs!$C$11+(RAND()+RAND()+RAND()-1.5)*Inputs!$C$12*2)),0)</f>
        <v>79</v>
      </c>
      <c r="D77" s="13" t="n">
        <f aca="true">ROUND(MAX(30,MIN(95,Inputs!$C$13+(RAND()+RAND()+RAND()-1.5)*Inputs!$C$14*2)),0)</f>
        <v>59</v>
      </c>
      <c r="E77" s="13" t="n">
        <f aca="true">ROUND(MAX(30,MIN(95,Inputs!$C$13+(RAND()+RAND()+RAND()-1.5)*Inputs!$C$14*2)),0)</f>
        <v>56</v>
      </c>
      <c r="F77" s="13" t="n">
        <f aca="false">RANDBETWEEN(Inputs!$C$5,Inputs!$C$6)</f>
        <v>66</v>
      </c>
      <c r="G77" s="13" t="n">
        <f aca="false">ROUND(F77*Inputs!$C$7*Inputs!$C$8,0)</f>
        <v>5</v>
      </c>
      <c r="H77" s="13" t="n">
        <f aca="false">ROUND(F77*Inputs!$C$7*(1-Inputs!$C$8),0)</f>
        <v>12</v>
      </c>
      <c r="I77" s="13" t="n">
        <f aca="false">F77-G77-H77</f>
        <v>49</v>
      </c>
      <c r="J77" s="14" t="n">
        <f aca="false">(G77/2)*MAX(0,MIN(1,Inputs!$C$19+(B77-C77)*Inputs!$C$20))</f>
        <v>0.2275</v>
      </c>
      <c r="K77" s="14" t="n">
        <f aca="false">(G77/2)*MAX(0,MIN(1,Inputs!$C$19+(C77-B77)*Inputs!$C$20))</f>
        <v>0.2725</v>
      </c>
      <c r="L77" s="14" t="n">
        <f aca="false">(H77/2)*MAX(0,1-MIN(1,Inputs!$C$23+(C77-B77)*Inputs!$C$24))*0.5</f>
        <v>0.333</v>
      </c>
      <c r="M77" s="14" t="n">
        <f aca="false">(H77/2)*MAX(0,1-MIN(1,Inputs!$C$23+(B77-C77)*Inputs!$C$24))*0.5</f>
        <v>0.387</v>
      </c>
      <c r="N77" s="13" t="n">
        <f aca="false">ROUND(F77*(0.5+(B77-C77)*0.005),0)</f>
        <v>32</v>
      </c>
      <c r="O77" s="13" t="n">
        <f aca="false">F77-N77</f>
        <v>34</v>
      </c>
      <c r="P77" s="14" t="n">
        <f aca="false">N77*MAX(0,MIN(1,Inputs!$C$32+(D77-E77)*Inputs!$C$33))</f>
        <v>8.288</v>
      </c>
      <c r="Q77" s="14" t="n">
        <f aca="false">O77*MAX(0,MIN(1,Inputs!$C$32+(E77-D77)*Inputs!$C$33))</f>
        <v>8.194</v>
      </c>
      <c r="R77" s="13" t="n">
        <f aca="false">ROUND(P77*Inputs!$C$31,0)</f>
        <v>2</v>
      </c>
      <c r="S77" s="13" t="n">
        <f aca="false">ROUND(Q77*Inputs!$C$31,0)</f>
        <v>2</v>
      </c>
      <c r="T77" s="14" t="n">
        <f aca="false">J77+L77+I77*Inputs!$C$28*0.5</f>
        <v>4.9705</v>
      </c>
      <c r="U77" s="14" t="n">
        <f aca="false">K77+M77+I77*Inputs!$C$28*0.5</f>
        <v>5.0695</v>
      </c>
      <c r="V77" s="14" t="n">
        <f aca="false">T77*Inputs!$C$36</f>
        <v>3.47935</v>
      </c>
      <c r="W77" s="14" t="n">
        <f aca="false">U77*Inputs!$C$36</f>
        <v>3.54865</v>
      </c>
      <c r="X77" s="14" t="n">
        <f aca="false">V77*Inputs!$C$37</f>
        <v>2.2615775</v>
      </c>
      <c r="Y77" s="14" t="n">
        <f aca="false">W77*Inputs!$C$37</f>
        <v>2.3066225</v>
      </c>
      <c r="Z77" s="14" t="n">
        <f aca="false">R77*Inputs!$C$38</f>
        <v>1.5</v>
      </c>
      <c r="AA77" s="14" t="n">
        <f aca="false">S77*Inputs!$C$38</f>
        <v>1.5</v>
      </c>
      <c r="AB77" s="13" t="n">
        <f aca="false">ROUND(R77*5+Z77*2+X77*3,0)</f>
        <v>20</v>
      </c>
      <c r="AC77" s="13" t="n">
        <f aca="false">ROUND(S77*5+AA77*2+Y77*3,0)</f>
        <v>20</v>
      </c>
      <c r="AD77" s="13" t="n">
        <f aca="true">IF(RAND()&lt;Inputs!$C$41,1,0)+IF(RAND()&lt;Inputs!$C$41,1,0)</f>
        <v>1</v>
      </c>
      <c r="AE77" s="13" t="n">
        <f aca="true">IF(RAND()&lt;Inputs!$C$42,1,0)+IF(RAND()&lt;Inputs!$C$42,1,0)</f>
        <v>0</v>
      </c>
      <c r="AF77" s="13" t="n">
        <f aca="false">AB77+AC77</f>
        <v>40</v>
      </c>
      <c r="AG77" s="13" t="n">
        <f aca="false">ABS(AB77-AC77)</f>
        <v>0</v>
      </c>
      <c r="AH77" s="13" t="n">
        <f aca="false">R77+S77</f>
        <v>4</v>
      </c>
      <c r="AI77" s="14" t="n">
        <f aca="false">V77+W77</f>
        <v>7.028</v>
      </c>
      <c r="AJ77" s="14" t="n">
        <f aca="false">X77+Y77</f>
        <v>4.5682</v>
      </c>
      <c r="AK77" s="13" t="n">
        <f aca="false">IF(AB77=AC77,1,0)</f>
        <v>1</v>
      </c>
    </row>
    <row r="78" customFormat="false" ht="15" hidden="false" customHeight="false" outlineLevel="0" collapsed="false">
      <c r="A78" s="12" t="n">
        <v>75</v>
      </c>
      <c r="B78" s="13" t="n">
        <f aca="true">ROUND(MAX(30,MIN(95,Inputs!$C$11+(RAND()+RAND()+RAND()-1.5)*Inputs!$C$12*2)),0)</f>
        <v>75</v>
      </c>
      <c r="C78" s="13" t="n">
        <f aca="true">ROUND(MAX(30,MIN(95,Inputs!$C$11+(RAND()+RAND()+RAND()-1.5)*Inputs!$C$12*2)),0)</f>
        <v>55</v>
      </c>
      <c r="D78" s="13" t="n">
        <f aca="true">ROUND(MAX(30,MIN(95,Inputs!$C$13+(RAND()+RAND()+RAND()-1.5)*Inputs!$C$14*2)),0)</f>
        <v>74</v>
      </c>
      <c r="E78" s="13" t="n">
        <f aca="true">ROUND(MAX(30,MIN(95,Inputs!$C$13+(RAND()+RAND()+RAND()-1.5)*Inputs!$C$14*2)),0)</f>
        <v>66</v>
      </c>
      <c r="F78" s="13" t="n">
        <f aca="false">RANDBETWEEN(Inputs!$C$5,Inputs!$C$6)</f>
        <v>69</v>
      </c>
      <c r="G78" s="13" t="n">
        <f aca="false">ROUND(F78*Inputs!$C$7*Inputs!$C$8,0)</f>
        <v>5</v>
      </c>
      <c r="H78" s="13" t="n">
        <f aca="false">ROUND(F78*Inputs!$C$7*(1-Inputs!$C$8),0)</f>
        <v>12</v>
      </c>
      <c r="I78" s="13" t="n">
        <f aca="false">F78-G78-H78</f>
        <v>52</v>
      </c>
      <c r="J78" s="14" t="n">
        <f aca="false">(G78/2)*MAX(0,MIN(1,Inputs!$C$19+(B78-C78)*Inputs!$C$20))</f>
        <v>0.4</v>
      </c>
      <c r="K78" s="14" t="n">
        <f aca="false">(G78/2)*MAX(0,MIN(1,Inputs!$C$19+(C78-B78)*Inputs!$C$20))</f>
        <v>0.1</v>
      </c>
      <c r="L78" s="14" t="n">
        <f aca="false">(H78/2)*MAX(0,1-MIN(1,Inputs!$C$23+(C78-B78)*Inputs!$C$24))*0.5</f>
        <v>0.54</v>
      </c>
      <c r="M78" s="14" t="n">
        <f aca="false">(H78/2)*MAX(0,1-MIN(1,Inputs!$C$23+(B78-C78)*Inputs!$C$24))*0.5</f>
        <v>0.18</v>
      </c>
      <c r="N78" s="13" t="n">
        <f aca="false">ROUND(F78*(0.5+(B78-C78)*0.005),0)</f>
        <v>41</v>
      </c>
      <c r="O78" s="13" t="n">
        <f aca="false">F78-N78</f>
        <v>28</v>
      </c>
      <c r="P78" s="14" t="n">
        <f aca="false">N78*MAX(0,MIN(1,Inputs!$C$32+(D78-E78)*Inputs!$C$33))</f>
        <v>11.234</v>
      </c>
      <c r="Q78" s="14" t="n">
        <f aca="false">O78*MAX(0,MIN(1,Inputs!$C$32+(E78-D78)*Inputs!$C$33))</f>
        <v>6.328</v>
      </c>
      <c r="R78" s="13" t="n">
        <f aca="false">ROUND(P78*Inputs!$C$31,0)</f>
        <v>3</v>
      </c>
      <c r="S78" s="13" t="n">
        <f aca="false">ROUND(Q78*Inputs!$C$31,0)</f>
        <v>2</v>
      </c>
      <c r="T78" s="14" t="n">
        <f aca="false">J78+L78+I78*Inputs!$C$28*0.5</f>
        <v>5.62</v>
      </c>
      <c r="U78" s="14" t="n">
        <f aca="false">K78+M78+I78*Inputs!$C$28*0.5</f>
        <v>4.96</v>
      </c>
      <c r="V78" s="14" t="n">
        <f aca="false">T78*Inputs!$C$36</f>
        <v>3.934</v>
      </c>
      <c r="W78" s="14" t="n">
        <f aca="false">U78*Inputs!$C$36</f>
        <v>3.472</v>
      </c>
      <c r="X78" s="14" t="n">
        <f aca="false">V78*Inputs!$C$37</f>
        <v>2.5571</v>
      </c>
      <c r="Y78" s="14" t="n">
        <f aca="false">W78*Inputs!$C$37</f>
        <v>2.2568</v>
      </c>
      <c r="Z78" s="14" t="n">
        <f aca="false">R78*Inputs!$C$38</f>
        <v>2.25</v>
      </c>
      <c r="AA78" s="14" t="n">
        <f aca="false">S78*Inputs!$C$38</f>
        <v>1.5</v>
      </c>
      <c r="AB78" s="13" t="n">
        <f aca="false">ROUND(R78*5+Z78*2+X78*3,0)</f>
        <v>27</v>
      </c>
      <c r="AC78" s="13" t="n">
        <f aca="false">ROUND(S78*5+AA78*2+Y78*3,0)</f>
        <v>20</v>
      </c>
      <c r="AD78" s="13" t="n">
        <f aca="true">IF(RAND()&lt;Inputs!$C$41,1,0)+IF(RAND()&lt;Inputs!$C$41,1,0)</f>
        <v>0</v>
      </c>
      <c r="AE78" s="13" t="n">
        <f aca="true">IF(RAND()&lt;Inputs!$C$42,1,0)+IF(RAND()&lt;Inputs!$C$42,1,0)</f>
        <v>1</v>
      </c>
      <c r="AF78" s="13" t="n">
        <f aca="false">AB78+AC78</f>
        <v>47</v>
      </c>
      <c r="AG78" s="13" t="n">
        <f aca="false">ABS(AB78-AC78)</f>
        <v>7</v>
      </c>
      <c r="AH78" s="13" t="n">
        <f aca="false">R78+S78</f>
        <v>5</v>
      </c>
      <c r="AI78" s="14" t="n">
        <f aca="false">V78+W78</f>
        <v>7.406</v>
      </c>
      <c r="AJ78" s="14" t="n">
        <f aca="false">X78+Y78</f>
        <v>4.8139</v>
      </c>
      <c r="AK78" s="13" t="n">
        <f aca="false">IF(AB78=AC78,1,0)</f>
        <v>0</v>
      </c>
    </row>
    <row r="79" customFormat="false" ht="15" hidden="false" customHeight="false" outlineLevel="0" collapsed="false">
      <c r="A79" s="12" t="n">
        <v>76</v>
      </c>
      <c r="B79" s="13" t="n">
        <f aca="true">ROUND(MAX(30,MIN(95,Inputs!$C$11+(RAND()+RAND()+RAND()-1.5)*Inputs!$C$12*2)),0)</f>
        <v>42</v>
      </c>
      <c r="C79" s="13" t="n">
        <f aca="true">ROUND(MAX(30,MIN(95,Inputs!$C$11+(RAND()+RAND()+RAND()-1.5)*Inputs!$C$12*2)),0)</f>
        <v>56</v>
      </c>
      <c r="D79" s="13" t="n">
        <f aca="true">ROUND(MAX(30,MIN(95,Inputs!$C$13+(RAND()+RAND()+RAND()-1.5)*Inputs!$C$14*2)),0)</f>
        <v>65</v>
      </c>
      <c r="E79" s="13" t="n">
        <f aca="true">ROUND(MAX(30,MIN(95,Inputs!$C$13+(RAND()+RAND()+RAND()-1.5)*Inputs!$C$14*2)),0)</f>
        <v>51</v>
      </c>
      <c r="F79" s="13" t="n">
        <f aca="false">RANDBETWEEN(Inputs!$C$5,Inputs!$C$6)</f>
        <v>69</v>
      </c>
      <c r="G79" s="13" t="n">
        <f aca="false">ROUND(F79*Inputs!$C$7*Inputs!$C$8,0)</f>
        <v>5</v>
      </c>
      <c r="H79" s="13" t="n">
        <f aca="false">ROUND(F79*Inputs!$C$7*(1-Inputs!$C$8),0)</f>
        <v>12</v>
      </c>
      <c r="I79" s="13" t="n">
        <f aca="false">F79-G79-H79</f>
        <v>52</v>
      </c>
      <c r="J79" s="14" t="n">
        <f aca="false">(G79/2)*MAX(0,MIN(1,Inputs!$C$19+(B79-C79)*Inputs!$C$20))</f>
        <v>0.145</v>
      </c>
      <c r="K79" s="14" t="n">
        <f aca="false">(G79/2)*MAX(0,MIN(1,Inputs!$C$19+(C79-B79)*Inputs!$C$20))</f>
        <v>0.355</v>
      </c>
      <c r="L79" s="14" t="n">
        <f aca="false">(H79/2)*MAX(0,1-MIN(1,Inputs!$C$23+(C79-B79)*Inputs!$C$24))*0.5</f>
        <v>0.234</v>
      </c>
      <c r="M79" s="14" t="n">
        <f aca="false">(H79/2)*MAX(0,1-MIN(1,Inputs!$C$23+(B79-C79)*Inputs!$C$24))*0.5</f>
        <v>0.486</v>
      </c>
      <c r="N79" s="13" t="n">
        <f aca="false">ROUND(F79*(0.5+(B79-C79)*0.005),0)</f>
        <v>30</v>
      </c>
      <c r="O79" s="13" t="n">
        <f aca="false">F79-N79</f>
        <v>39</v>
      </c>
      <c r="P79" s="14" t="n">
        <f aca="false">N79*MAX(0,MIN(1,Inputs!$C$32+(D79-E79)*Inputs!$C$33))</f>
        <v>8.76</v>
      </c>
      <c r="Q79" s="14" t="n">
        <f aca="false">O79*MAX(0,MIN(1,Inputs!$C$32+(E79-D79)*Inputs!$C$33))</f>
        <v>8.112</v>
      </c>
      <c r="R79" s="13" t="n">
        <f aca="false">ROUND(P79*Inputs!$C$31,0)</f>
        <v>3</v>
      </c>
      <c r="S79" s="13" t="n">
        <f aca="false">ROUND(Q79*Inputs!$C$31,0)</f>
        <v>2</v>
      </c>
      <c r="T79" s="14" t="n">
        <f aca="false">J79+L79+I79*Inputs!$C$28*0.5</f>
        <v>5.059</v>
      </c>
      <c r="U79" s="14" t="n">
        <f aca="false">K79+M79+I79*Inputs!$C$28*0.5</f>
        <v>5.521</v>
      </c>
      <c r="V79" s="14" t="n">
        <f aca="false">T79*Inputs!$C$36</f>
        <v>3.5413</v>
      </c>
      <c r="W79" s="14" t="n">
        <f aca="false">U79*Inputs!$C$36</f>
        <v>3.8647</v>
      </c>
      <c r="X79" s="14" t="n">
        <f aca="false">V79*Inputs!$C$37</f>
        <v>2.301845</v>
      </c>
      <c r="Y79" s="14" t="n">
        <f aca="false">W79*Inputs!$C$37</f>
        <v>2.512055</v>
      </c>
      <c r="Z79" s="14" t="n">
        <f aca="false">R79*Inputs!$C$38</f>
        <v>2.25</v>
      </c>
      <c r="AA79" s="14" t="n">
        <f aca="false">S79*Inputs!$C$38</f>
        <v>1.5</v>
      </c>
      <c r="AB79" s="13" t="n">
        <f aca="false">ROUND(R79*5+Z79*2+X79*3,0)</f>
        <v>26</v>
      </c>
      <c r="AC79" s="13" t="n">
        <f aca="false">ROUND(S79*5+AA79*2+Y79*3,0)</f>
        <v>21</v>
      </c>
      <c r="AD79" s="13" t="n">
        <f aca="true">IF(RAND()&lt;Inputs!$C$41,1,0)+IF(RAND()&lt;Inputs!$C$41,1,0)</f>
        <v>1</v>
      </c>
      <c r="AE79" s="13" t="n">
        <f aca="true">IF(RAND()&lt;Inputs!$C$42,1,0)+IF(RAND()&lt;Inputs!$C$42,1,0)</f>
        <v>0</v>
      </c>
      <c r="AF79" s="13" t="n">
        <f aca="false">AB79+AC79</f>
        <v>47</v>
      </c>
      <c r="AG79" s="13" t="n">
        <f aca="false">ABS(AB79-AC79)</f>
        <v>5</v>
      </c>
      <c r="AH79" s="13" t="n">
        <f aca="false">R79+S79</f>
        <v>5</v>
      </c>
      <c r="AI79" s="14" t="n">
        <f aca="false">V79+W79</f>
        <v>7.406</v>
      </c>
      <c r="AJ79" s="14" t="n">
        <f aca="false">X79+Y79</f>
        <v>4.8139</v>
      </c>
      <c r="AK79" s="13" t="n">
        <f aca="false">IF(AB79=AC79,1,0)</f>
        <v>0</v>
      </c>
    </row>
    <row r="80" customFormat="false" ht="15" hidden="false" customHeight="false" outlineLevel="0" collapsed="false">
      <c r="A80" s="12" t="n">
        <v>77</v>
      </c>
      <c r="B80" s="13" t="n">
        <f aca="true">ROUND(MAX(30,MIN(95,Inputs!$C$11+(RAND()+RAND()+RAND()-1.5)*Inputs!$C$12*2)),0)</f>
        <v>71</v>
      </c>
      <c r="C80" s="13" t="n">
        <f aca="true">ROUND(MAX(30,MIN(95,Inputs!$C$11+(RAND()+RAND()+RAND()-1.5)*Inputs!$C$12*2)),0)</f>
        <v>65</v>
      </c>
      <c r="D80" s="13" t="n">
        <f aca="true">ROUND(MAX(30,MIN(95,Inputs!$C$13+(RAND()+RAND()+RAND()-1.5)*Inputs!$C$14*2)),0)</f>
        <v>77</v>
      </c>
      <c r="E80" s="13" t="n">
        <f aca="true">ROUND(MAX(30,MIN(95,Inputs!$C$13+(RAND()+RAND()+RAND()-1.5)*Inputs!$C$14*2)),0)</f>
        <v>82</v>
      </c>
      <c r="F80" s="13" t="n">
        <f aca="false">RANDBETWEEN(Inputs!$C$5,Inputs!$C$6)</f>
        <v>78</v>
      </c>
      <c r="G80" s="13" t="n">
        <f aca="false">ROUND(F80*Inputs!$C$7*Inputs!$C$8,0)</f>
        <v>6</v>
      </c>
      <c r="H80" s="13" t="n">
        <f aca="false">ROUND(F80*Inputs!$C$7*(1-Inputs!$C$8),0)</f>
        <v>14</v>
      </c>
      <c r="I80" s="13" t="n">
        <f aca="false">F80-G80-H80</f>
        <v>58</v>
      </c>
      <c r="J80" s="14" t="n">
        <f aca="false">(G80/2)*MAX(0,MIN(1,Inputs!$C$19+(B80-C80)*Inputs!$C$20))</f>
        <v>0.354</v>
      </c>
      <c r="K80" s="14" t="n">
        <f aca="false">(G80/2)*MAX(0,MIN(1,Inputs!$C$19+(C80-B80)*Inputs!$C$20))</f>
        <v>0.246</v>
      </c>
      <c r="L80" s="14" t="n">
        <f aca="false">(H80/2)*MAX(0,1-MIN(1,Inputs!$C$23+(C80-B80)*Inputs!$C$24))*0.5</f>
        <v>0.483</v>
      </c>
      <c r="M80" s="14" t="n">
        <f aca="false">(H80/2)*MAX(0,1-MIN(1,Inputs!$C$23+(B80-C80)*Inputs!$C$24))*0.5</f>
        <v>0.357</v>
      </c>
      <c r="N80" s="13" t="n">
        <f aca="false">ROUND(F80*(0.5+(B80-C80)*0.005),0)</f>
        <v>41</v>
      </c>
      <c r="O80" s="13" t="n">
        <f aca="false">F80-N80</f>
        <v>37</v>
      </c>
      <c r="P80" s="14" t="n">
        <f aca="false">N80*MAX(0,MIN(1,Inputs!$C$32+(D80-E80)*Inputs!$C$33))</f>
        <v>9.635</v>
      </c>
      <c r="Q80" s="14" t="n">
        <f aca="false">O80*MAX(0,MIN(1,Inputs!$C$32+(E80-D80)*Inputs!$C$33))</f>
        <v>9.805</v>
      </c>
      <c r="R80" s="13" t="n">
        <f aca="false">ROUND(P80*Inputs!$C$31,0)</f>
        <v>3</v>
      </c>
      <c r="S80" s="13" t="n">
        <f aca="false">ROUND(Q80*Inputs!$C$31,0)</f>
        <v>3</v>
      </c>
      <c r="T80" s="14" t="n">
        <f aca="false">J80+L80+I80*Inputs!$C$28*0.5</f>
        <v>6.057</v>
      </c>
      <c r="U80" s="14" t="n">
        <f aca="false">K80+M80+I80*Inputs!$C$28*0.5</f>
        <v>5.823</v>
      </c>
      <c r="V80" s="14" t="n">
        <f aca="false">T80*Inputs!$C$36</f>
        <v>4.2399</v>
      </c>
      <c r="W80" s="14" t="n">
        <f aca="false">U80*Inputs!$C$36</f>
        <v>4.0761</v>
      </c>
      <c r="X80" s="14" t="n">
        <f aca="false">V80*Inputs!$C$37</f>
        <v>2.755935</v>
      </c>
      <c r="Y80" s="14" t="n">
        <f aca="false">W80*Inputs!$C$37</f>
        <v>2.649465</v>
      </c>
      <c r="Z80" s="14" t="n">
        <f aca="false">R80*Inputs!$C$38</f>
        <v>2.25</v>
      </c>
      <c r="AA80" s="14" t="n">
        <f aca="false">S80*Inputs!$C$38</f>
        <v>2.25</v>
      </c>
      <c r="AB80" s="13" t="n">
        <f aca="false">ROUND(R80*5+Z80*2+X80*3,0)</f>
        <v>28</v>
      </c>
      <c r="AC80" s="13" t="n">
        <f aca="false">ROUND(S80*5+AA80*2+Y80*3,0)</f>
        <v>27</v>
      </c>
      <c r="AD80" s="13" t="n">
        <f aca="true">IF(RAND()&lt;Inputs!$C$41,1,0)+IF(RAND()&lt;Inputs!$C$41,1,0)</f>
        <v>1</v>
      </c>
      <c r="AE80" s="13" t="n">
        <f aca="true">IF(RAND()&lt;Inputs!$C$42,1,0)+IF(RAND()&lt;Inputs!$C$42,1,0)</f>
        <v>0</v>
      </c>
      <c r="AF80" s="13" t="n">
        <f aca="false">AB80+AC80</f>
        <v>55</v>
      </c>
      <c r="AG80" s="13" t="n">
        <f aca="false">ABS(AB80-AC80)</f>
        <v>1</v>
      </c>
      <c r="AH80" s="13" t="n">
        <f aca="false">R80+S80</f>
        <v>6</v>
      </c>
      <c r="AI80" s="14" t="n">
        <f aca="false">V80+W80</f>
        <v>8.316</v>
      </c>
      <c r="AJ80" s="14" t="n">
        <f aca="false">X80+Y80</f>
        <v>5.4054</v>
      </c>
      <c r="AK80" s="13" t="n">
        <f aca="false">IF(AB80=AC80,1,0)</f>
        <v>0</v>
      </c>
    </row>
    <row r="81" customFormat="false" ht="15" hidden="false" customHeight="false" outlineLevel="0" collapsed="false">
      <c r="A81" s="12" t="n">
        <v>78</v>
      </c>
      <c r="B81" s="13" t="n">
        <f aca="true">ROUND(MAX(30,MIN(95,Inputs!$C$11+(RAND()+RAND()+RAND()-1.5)*Inputs!$C$12*2)),0)</f>
        <v>51</v>
      </c>
      <c r="C81" s="13" t="n">
        <f aca="true">ROUND(MAX(30,MIN(95,Inputs!$C$11+(RAND()+RAND()+RAND()-1.5)*Inputs!$C$12*2)),0)</f>
        <v>83</v>
      </c>
      <c r="D81" s="13" t="n">
        <f aca="true">ROUND(MAX(30,MIN(95,Inputs!$C$13+(RAND()+RAND()+RAND()-1.5)*Inputs!$C$14*2)),0)</f>
        <v>68</v>
      </c>
      <c r="E81" s="13" t="n">
        <f aca="true">ROUND(MAX(30,MIN(95,Inputs!$C$13+(RAND()+RAND()+RAND()-1.5)*Inputs!$C$14*2)),0)</f>
        <v>62</v>
      </c>
      <c r="F81" s="13" t="n">
        <f aca="false">RANDBETWEEN(Inputs!$C$5,Inputs!$C$6)</f>
        <v>79</v>
      </c>
      <c r="G81" s="13" t="n">
        <f aca="false">ROUND(F81*Inputs!$C$7*Inputs!$C$8,0)</f>
        <v>6</v>
      </c>
      <c r="H81" s="13" t="n">
        <f aca="false">ROUND(F81*Inputs!$C$7*(1-Inputs!$C$8),0)</f>
        <v>14</v>
      </c>
      <c r="I81" s="13" t="n">
        <f aca="false">F81-G81-H81</f>
        <v>59</v>
      </c>
      <c r="J81" s="14" t="n">
        <f aca="false">(G81/2)*MAX(0,MIN(1,Inputs!$C$19+(B81-C81)*Inputs!$C$20))</f>
        <v>0.012</v>
      </c>
      <c r="K81" s="14" t="n">
        <f aca="false">(G81/2)*MAX(0,MIN(1,Inputs!$C$19+(C81-B81)*Inputs!$C$20))</f>
        <v>0.588</v>
      </c>
      <c r="L81" s="14" t="n">
        <f aca="false">(H81/2)*MAX(0,1-MIN(1,Inputs!$C$23+(C81-B81)*Inputs!$C$24))*0.5</f>
        <v>0.0840000000000001</v>
      </c>
      <c r="M81" s="14" t="n">
        <f aca="false">(H81/2)*MAX(0,1-MIN(1,Inputs!$C$23+(B81-C81)*Inputs!$C$24))*0.5</f>
        <v>0.756</v>
      </c>
      <c r="N81" s="13" t="n">
        <f aca="false">ROUND(F81*(0.5+(B81-C81)*0.005),0)</f>
        <v>27</v>
      </c>
      <c r="O81" s="13" t="n">
        <f aca="false">F81-N81</f>
        <v>52</v>
      </c>
      <c r="P81" s="14" t="n">
        <f aca="false">N81*MAX(0,MIN(1,Inputs!$C$32+(D81-E81)*Inputs!$C$33))</f>
        <v>7.236</v>
      </c>
      <c r="Q81" s="14" t="n">
        <f aca="false">O81*MAX(0,MIN(1,Inputs!$C$32+(E81-D81)*Inputs!$C$33))</f>
        <v>12.064</v>
      </c>
      <c r="R81" s="13" t="n">
        <f aca="false">ROUND(P81*Inputs!$C$31,0)</f>
        <v>2</v>
      </c>
      <c r="S81" s="13" t="n">
        <f aca="false">ROUND(Q81*Inputs!$C$31,0)</f>
        <v>4</v>
      </c>
      <c r="T81" s="14" t="n">
        <f aca="false">J81+L81+I81*Inputs!$C$28*0.5</f>
        <v>5.406</v>
      </c>
      <c r="U81" s="14" t="n">
        <f aca="false">K81+M81+I81*Inputs!$C$28*0.5</f>
        <v>6.654</v>
      </c>
      <c r="V81" s="14" t="n">
        <f aca="false">T81*Inputs!$C$36</f>
        <v>3.7842</v>
      </c>
      <c r="W81" s="14" t="n">
        <f aca="false">U81*Inputs!$C$36</f>
        <v>4.6578</v>
      </c>
      <c r="X81" s="14" t="n">
        <f aca="false">V81*Inputs!$C$37</f>
        <v>2.45973</v>
      </c>
      <c r="Y81" s="14" t="n">
        <f aca="false">W81*Inputs!$C$37</f>
        <v>3.02757</v>
      </c>
      <c r="Z81" s="14" t="n">
        <f aca="false">R81*Inputs!$C$38</f>
        <v>1.5</v>
      </c>
      <c r="AA81" s="14" t="n">
        <f aca="false">S81*Inputs!$C$38</f>
        <v>3</v>
      </c>
      <c r="AB81" s="13" t="n">
        <f aca="false">ROUND(R81*5+Z81*2+X81*3,0)</f>
        <v>20</v>
      </c>
      <c r="AC81" s="13" t="n">
        <f aca="false">ROUND(S81*5+AA81*2+Y81*3,0)</f>
        <v>35</v>
      </c>
      <c r="AD81" s="13" t="n">
        <f aca="true">IF(RAND()&lt;Inputs!$C$41,1,0)+IF(RAND()&lt;Inputs!$C$41,1,0)</f>
        <v>0</v>
      </c>
      <c r="AE81" s="13" t="n">
        <f aca="true">IF(RAND()&lt;Inputs!$C$42,1,0)+IF(RAND()&lt;Inputs!$C$42,1,0)</f>
        <v>0</v>
      </c>
      <c r="AF81" s="13" t="n">
        <f aca="false">AB81+AC81</f>
        <v>55</v>
      </c>
      <c r="AG81" s="13" t="n">
        <f aca="false">ABS(AB81-AC81)</f>
        <v>15</v>
      </c>
      <c r="AH81" s="13" t="n">
        <f aca="false">R81+S81</f>
        <v>6</v>
      </c>
      <c r="AI81" s="14" t="n">
        <f aca="false">V81+W81</f>
        <v>8.442</v>
      </c>
      <c r="AJ81" s="14" t="n">
        <f aca="false">X81+Y81</f>
        <v>5.4873</v>
      </c>
      <c r="AK81" s="13" t="n">
        <f aca="false">IF(AB81=AC81,1,0)</f>
        <v>0</v>
      </c>
    </row>
    <row r="82" customFormat="false" ht="15" hidden="false" customHeight="false" outlineLevel="0" collapsed="false">
      <c r="A82" s="12" t="n">
        <v>79</v>
      </c>
      <c r="B82" s="13" t="n">
        <f aca="true">ROUND(MAX(30,MIN(95,Inputs!$C$11+(RAND()+RAND()+RAND()-1.5)*Inputs!$C$12*2)),0)</f>
        <v>46</v>
      </c>
      <c r="C82" s="13" t="n">
        <f aca="true">ROUND(MAX(30,MIN(95,Inputs!$C$11+(RAND()+RAND()+RAND()-1.5)*Inputs!$C$12*2)),0)</f>
        <v>73</v>
      </c>
      <c r="D82" s="13" t="n">
        <f aca="true">ROUND(MAX(30,MIN(95,Inputs!$C$13+(RAND()+RAND()+RAND()-1.5)*Inputs!$C$14*2)),0)</f>
        <v>59</v>
      </c>
      <c r="E82" s="13" t="n">
        <f aca="true">ROUND(MAX(30,MIN(95,Inputs!$C$13+(RAND()+RAND()+RAND()-1.5)*Inputs!$C$14*2)),0)</f>
        <v>58</v>
      </c>
      <c r="F82" s="13" t="n">
        <f aca="false">RANDBETWEEN(Inputs!$C$5,Inputs!$C$6)</f>
        <v>86</v>
      </c>
      <c r="G82" s="13" t="n">
        <f aca="false">ROUND(F82*Inputs!$C$7*Inputs!$C$8,0)</f>
        <v>6</v>
      </c>
      <c r="H82" s="13" t="n">
        <f aca="false">ROUND(F82*Inputs!$C$7*(1-Inputs!$C$8),0)</f>
        <v>15</v>
      </c>
      <c r="I82" s="13" t="n">
        <f aca="false">F82-G82-H82</f>
        <v>65</v>
      </c>
      <c r="J82" s="14" t="n">
        <f aca="false">(G82/2)*MAX(0,MIN(1,Inputs!$C$19+(B82-C82)*Inputs!$C$20))</f>
        <v>0.057</v>
      </c>
      <c r="K82" s="14" t="n">
        <f aca="false">(G82/2)*MAX(0,MIN(1,Inputs!$C$19+(C82-B82)*Inputs!$C$20))</f>
        <v>0.543</v>
      </c>
      <c r="L82" s="14" t="n">
        <f aca="false">(H82/2)*MAX(0,1-MIN(1,Inputs!$C$23+(C82-B82)*Inputs!$C$24))*0.5</f>
        <v>0.14625</v>
      </c>
      <c r="M82" s="14" t="n">
        <f aca="false">(H82/2)*MAX(0,1-MIN(1,Inputs!$C$23+(B82-C82)*Inputs!$C$24))*0.5</f>
        <v>0.75375</v>
      </c>
      <c r="N82" s="13" t="n">
        <f aca="false">ROUND(F82*(0.5+(B82-C82)*0.005),0)</f>
        <v>31</v>
      </c>
      <c r="O82" s="13" t="n">
        <f aca="false">F82-N82</f>
        <v>55</v>
      </c>
      <c r="P82" s="14" t="n">
        <f aca="false">N82*MAX(0,MIN(1,Inputs!$C$32+(D82-E82)*Inputs!$C$33))</f>
        <v>7.843</v>
      </c>
      <c r="Q82" s="14" t="n">
        <f aca="false">O82*MAX(0,MIN(1,Inputs!$C$32+(E82-D82)*Inputs!$C$33))</f>
        <v>13.585</v>
      </c>
      <c r="R82" s="13" t="n">
        <f aca="false">ROUND(P82*Inputs!$C$31,0)</f>
        <v>2</v>
      </c>
      <c r="S82" s="13" t="n">
        <f aca="false">ROUND(Q82*Inputs!$C$31,0)</f>
        <v>4</v>
      </c>
      <c r="T82" s="14" t="n">
        <f aca="false">J82+L82+I82*Inputs!$C$28*0.5</f>
        <v>6.05325</v>
      </c>
      <c r="U82" s="14" t="n">
        <f aca="false">K82+M82+I82*Inputs!$C$28*0.5</f>
        <v>7.14675</v>
      </c>
      <c r="V82" s="14" t="n">
        <f aca="false">T82*Inputs!$C$36</f>
        <v>4.237275</v>
      </c>
      <c r="W82" s="14" t="n">
        <f aca="false">U82*Inputs!$C$36</f>
        <v>5.002725</v>
      </c>
      <c r="X82" s="14" t="n">
        <f aca="false">V82*Inputs!$C$37</f>
        <v>2.75422875</v>
      </c>
      <c r="Y82" s="14" t="n">
        <f aca="false">W82*Inputs!$C$37</f>
        <v>3.25177125</v>
      </c>
      <c r="Z82" s="14" t="n">
        <f aca="false">R82*Inputs!$C$38</f>
        <v>1.5</v>
      </c>
      <c r="AA82" s="14" t="n">
        <f aca="false">S82*Inputs!$C$38</f>
        <v>3</v>
      </c>
      <c r="AB82" s="13" t="n">
        <f aca="false">ROUND(R82*5+Z82*2+X82*3,0)</f>
        <v>21</v>
      </c>
      <c r="AC82" s="13" t="n">
        <f aca="false">ROUND(S82*5+AA82*2+Y82*3,0)</f>
        <v>36</v>
      </c>
      <c r="AD82" s="13" t="n">
        <f aca="true">IF(RAND()&lt;Inputs!$C$41,1,0)+IF(RAND()&lt;Inputs!$C$41,1,0)</f>
        <v>1</v>
      </c>
      <c r="AE82" s="13" t="n">
        <f aca="true">IF(RAND()&lt;Inputs!$C$42,1,0)+IF(RAND()&lt;Inputs!$C$42,1,0)</f>
        <v>0</v>
      </c>
      <c r="AF82" s="13" t="n">
        <f aca="false">AB82+AC82</f>
        <v>57</v>
      </c>
      <c r="AG82" s="13" t="n">
        <f aca="false">ABS(AB82-AC82)</f>
        <v>15</v>
      </c>
      <c r="AH82" s="13" t="n">
        <f aca="false">R82+S82</f>
        <v>6</v>
      </c>
      <c r="AI82" s="14" t="n">
        <f aca="false">V82+W82</f>
        <v>9.24</v>
      </c>
      <c r="AJ82" s="14" t="n">
        <f aca="false">X82+Y82</f>
        <v>6.006</v>
      </c>
      <c r="AK82" s="13" t="n">
        <f aca="false">IF(AB82=AC82,1,0)</f>
        <v>0</v>
      </c>
    </row>
    <row r="83" customFormat="false" ht="15" hidden="false" customHeight="false" outlineLevel="0" collapsed="false">
      <c r="A83" s="12" t="n">
        <v>80</v>
      </c>
      <c r="B83" s="13" t="n">
        <f aca="true">ROUND(MAX(30,MIN(95,Inputs!$C$11+(RAND()+RAND()+RAND()-1.5)*Inputs!$C$12*2)),0)</f>
        <v>58</v>
      </c>
      <c r="C83" s="13" t="n">
        <f aca="true">ROUND(MAX(30,MIN(95,Inputs!$C$11+(RAND()+RAND()+RAND()-1.5)*Inputs!$C$12*2)),0)</f>
        <v>71</v>
      </c>
      <c r="D83" s="13" t="n">
        <f aca="true">ROUND(MAX(30,MIN(95,Inputs!$C$13+(RAND()+RAND()+RAND()-1.5)*Inputs!$C$14*2)),0)</f>
        <v>78</v>
      </c>
      <c r="E83" s="13" t="n">
        <f aca="true">ROUND(MAX(30,MIN(95,Inputs!$C$13+(RAND()+RAND()+RAND()-1.5)*Inputs!$C$14*2)),0)</f>
        <v>82</v>
      </c>
      <c r="F83" s="13" t="n">
        <f aca="false">RANDBETWEEN(Inputs!$C$5,Inputs!$C$6)</f>
        <v>75</v>
      </c>
      <c r="G83" s="13" t="n">
        <f aca="false">ROUND(F83*Inputs!$C$7*Inputs!$C$8,0)</f>
        <v>6</v>
      </c>
      <c r="H83" s="13" t="n">
        <f aca="false">ROUND(F83*Inputs!$C$7*(1-Inputs!$C$8),0)</f>
        <v>13</v>
      </c>
      <c r="I83" s="13" t="n">
        <f aca="false">F83-G83-H83</f>
        <v>56</v>
      </c>
      <c r="J83" s="14" t="n">
        <f aca="false">(G83/2)*MAX(0,MIN(1,Inputs!$C$19+(B83-C83)*Inputs!$C$20))</f>
        <v>0.183</v>
      </c>
      <c r="K83" s="14" t="n">
        <f aca="false">(G83/2)*MAX(0,MIN(1,Inputs!$C$19+(C83-B83)*Inputs!$C$20))</f>
        <v>0.417</v>
      </c>
      <c r="L83" s="14" t="n">
        <f aca="false">(H83/2)*MAX(0,1-MIN(1,Inputs!$C$23+(C83-B83)*Inputs!$C$24))*0.5</f>
        <v>0.26325</v>
      </c>
      <c r="M83" s="14" t="n">
        <f aca="false">(H83/2)*MAX(0,1-MIN(1,Inputs!$C$23+(B83-C83)*Inputs!$C$24))*0.5</f>
        <v>0.51675</v>
      </c>
      <c r="N83" s="13" t="n">
        <f aca="false">ROUND(F83*(0.5+(B83-C83)*0.005),0)</f>
        <v>33</v>
      </c>
      <c r="O83" s="13" t="n">
        <f aca="false">F83-N83</f>
        <v>42</v>
      </c>
      <c r="P83" s="14" t="n">
        <f aca="false">N83*MAX(0,MIN(1,Inputs!$C$32+(D83-E83)*Inputs!$C$33))</f>
        <v>7.854</v>
      </c>
      <c r="Q83" s="14" t="n">
        <f aca="false">O83*MAX(0,MIN(1,Inputs!$C$32+(E83-D83)*Inputs!$C$33))</f>
        <v>11.004</v>
      </c>
      <c r="R83" s="13" t="n">
        <f aca="false">ROUND(P83*Inputs!$C$31,0)</f>
        <v>2</v>
      </c>
      <c r="S83" s="13" t="n">
        <f aca="false">ROUND(Q83*Inputs!$C$31,0)</f>
        <v>3</v>
      </c>
      <c r="T83" s="14" t="n">
        <f aca="false">J83+L83+I83*Inputs!$C$28*0.5</f>
        <v>5.48625</v>
      </c>
      <c r="U83" s="14" t="n">
        <f aca="false">K83+M83+I83*Inputs!$C$28*0.5</f>
        <v>5.97375</v>
      </c>
      <c r="V83" s="14" t="n">
        <f aca="false">T83*Inputs!$C$36</f>
        <v>3.840375</v>
      </c>
      <c r="W83" s="14" t="n">
        <f aca="false">U83*Inputs!$C$36</f>
        <v>4.181625</v>
      </c>
      <c r="X83" s="14" t="n">
        <f aca="false">V83*Inputs!$C$37</f>
        <v>2.49624375</v>
      </c>
      <c r="Y83" s="14" t="n">
        <f aca="false">W83*Inputs!$C$37</f>
        <v>2.71805625</v>
      </c>
      <c r="Z83" s="14" t="n">
        <f aca="false">R83*Inputs!$C$38</f>
        <v>1.5</v>
      </c>
      <c r="AA83" s="14" t="n">
        <f aca="false">S83*Inputs!$C$38</f>
        <v>2.25</v>
      </c>
      <c r="AB83" s="13" t="n">
        <f aca="false">ROUND(R83*5+Z83*2+X83*3,0)</f>
        <v>20</v>
      </c>
      <c r="AC83" s="13" t="n">
        <f aca="false">ROUND(S83*5+AA83*2+Y83*3,0)</f>
        <v>28</v>
      </c>
      <c r="AD83" s="13" t="n">
        <f aca="true">IF(RAND()&lt;Inputs!$C$41,1,0)+IF(RAND()&lt;Inputs!$C$41,1,0)</f>
        <v>1</v>
      </c>
      <c r="AE83" s="13" t="n">
        <f aca="true">IF(RAND()&lt;Inputs!$C$42,1,0)+IF(RAND()&lt;Inputs!$C$42,1,0)</f>
        <v>0</v>
      </c>
      <c r="AF83" s="13" t="n">
        <f aca="false">AB83+AC83</f>
        <v>48</v>
      </c>
      <c r="AG83" s="13" t="n">
        <f aca="false">ABS(AB83-AC83)</f>
        <v>8</v>
      </c>
      <c r="AH83" s="13" t="n">
        <f aca="false">R83+S83</f>
        <v>5</v>
      </c>
      <c r="AI83" s="14" t="n">
        <f aca="false">V83+W83</f>
        <v>8.022</v>
      </c>
      <c r="AJ83" s="14" t="n">
        <f aca="false">X83+Y83</f>
        <v>5.2143</v>
      </c>
      <c r="AK83" s="13" t="n">
        <f aca="false">IF(AB83=AC83,1,0)</f>
        <v>0</v>
      </c>
    </row>
    <row r="84" customFormat="false" ht="15" hidden="false" customHeight="false" outlineLevel="0" collapsed="false">
      <c r="A84" s="12" t="n">
        <v>81</v>
      </c>
      <c r="B84" s="13" t="n">
        <f aca="true">ROUND(MAX(30,MIN(95,Inputs!$C$11+(RAND()+RAND()+RAND()-1.5)*Inputs!$C$12*2)),0)</f>
        <v>44</v>
      </c>
      <c r="C84" s="13" t="n">
        <f aca="true">ROUND(MAX(30,MIN(95,Inputs!$C$11+(RAND()+RAND()+RAND()-1.5)*Inputs!$C$12*2)),0)</f>
        <v>73</v>
      </c>
      <c r="D84" s="13" t="n">
        <f aca="true">ROUND(MAX(30,MIN(95,Inputs!$C$13+(RAND()+RAND()+RAND()-1.5)*Inputs!$C$14*2)),0)</f>
        <v>81</v>
      </c>
      <c r="E84" s="13" t="n">
        <f aca="true">ROUND(MAX(30,MIN(95,Inputs!$C$13+(RAND()+RAND()+RAND()-1.5)*Inputs!$C$14*2)),0)</f>
        <v>58</v>
      </c>
      <c r="F84" s="13" t="n">
        <f aca="false">RANDBETWEEN(Inputs!$C$5,Inputs!$C$6)</f>
        <v>89</v>
      </c>
      <c r="G84" s="13" t="n">
        <f aca="false">ROUND(F84*Inputs!$C$7*Inputs!$C$8,0)</f>
        <v>7</v>
      </c>
      <c r="H84" s="13" t="n">
        <f aca="false">ROUND(F84*Inputs!$C$7*(1-Inputs!$C$8),0)</f>
        <v>16</v>
      </c>
      <c r="I84" s="13" t="n">
        <f aca="false">F84-G84-H84</f>
        <v>66</v>
      </c>
      <c r="J84" s="14" t="n">
        <f aca="false">(G84/2)*MAX(0,MIN(1,Inputs!$C$19+(B84-C84)*Inputs!$C$20))</f>
        <v>0.0455</v>
      </c>
      <c r="K84" s="14" t="n">
        <f aca="false">(G84/2)*MAX(0,MIN(1,Inputs!$C$19+(C84-B84)*Inputs!$C$20))</f>
        <v>0.6545</v>
      </c>
      <c r="L84" s="14" t="n">
        <f aca="false">(H84/2)*MAX(0,1-MIN(1,Inputs!$C$23+(C84-B84)*Inputs!$C$24))*0.5</f>
        <v>0.132</v>
      </c>
      <c r="M84" s="14" t="n">
        <f aca="false">(H84/2)*MAX(0,1-MIN(1,Inputs!$C$23+(B84-C84)*Inputs!$C$24))*0.5</f>
        <v>0.828</v>
      </c>
      <c r="N84" s="13" t="n">
        <f aca="false">ROUND(F84*(0.5+(B84-C84)*0.005),0)</f>
        <v>32</v>
      </c>
      <c r="O84" s="13" t="n">
        <f aca="false">F84-N84</f>
        <v>57</v>
      </c>
      <c r="P84" s="14" t="n">
        <f aca="false">N84*MAX(0,MIN(1,Inputs!$C$32+(D84-E84)*Inputs!$C$33))</f>
        <v>10.208</v>
      </c>
      <c r="Q84" s="14" t="n">
        <f aca="false">O84*MAX(0,MIN(1,Inputs!$C$32+(E84-D84)*Inputs!$C$33))</f>
        <v>10.317</v>
      </c>
      <c r="R84" s="13" t="n">
        <f aca="false">ROUND(P84*Inputs!$C$31,0)</f>
        <v>3</v>
      </c>
      <c r="S84" s="13" t="n">
        <f aca="false">ROUND(Q84*Inputs!$C$31,0)</f>
        <v>3</v>
      </c>
      <c r="T84" s="14" t="n">
        <f aca="false">J84+L84+I84*Inputs!$C$28*0.5</f>
        <v>6.1175</v>
      </c>
      <c r="U84" s="14" t="n">
        <f aca="false">K84+M84+I84*Inputs!$C$28*0.5</f>
        <v>7.4225</v>
      </c>
      <c r="V84" s="14" t="n">
        <f aca="false">T84*Inputs!$C$36</f>
        <v>4.28225</v>
      </c>
      <c r="W84" s="14" t="n">
        <f aca="false">U84*Inputs!$C$36</f>
        <v>5.19575</v>
      </c>
      <c r="X84" s="14" t="n">
        <f aca="false">V84*Inputs!$C$37</f>
        <v>2.7834625</v>
      </c>
      <c r="Y84" s="14" t="n">
        <f aca="false">W84*Inputs!$C$37</f>
        <v>3.3772375</v>
      </c>
      <c r="Z84" s="14" t="n">
        <f aca="false">R84*Inputs!$C$38</f>
        <v>2.25</v>
      </c>
      <c r="AA84" s="14" t="n">
        <f aca="false">S84*Inputs!$C$38</f>
        <v>2.25</v>
      </c>
      <c r="AB84" s="13" t="n">
        <f aca="false">ROUND(R84*5+Z84*2+X84*3,0)</f>
        <v>28</v>
      </c>
      <c r="AC84" s="13" t="n">
        <f aca="false">ROUND(S84*5+AA84*2+Y84*3,0)</f>
        <v>30</v>
      </c>
      <c r="AD84" s="13" t="n">
        <f aca="true">IF(RAND()&lt;Inputs!$C$41,1,0)+IF(RAND()&lt;Inputs!$C$41,1,0)</f>
        <v>0</v>
      </c>
      <c r="AE84" s="13" t="n">
        <f aca="true">IF(RAND()&lt;Inputs!$C$42,1,0)+IF(RAND()&lt;Inputs!$C$42,1,0)</f>
        <v>0</v>
      </c>
      <c r="AF84" s="13" t="n">
        <f aca="false">AB84+AC84</f>
        <v>58</v>
      </c>
      <c r="AG84" s="13" t="n">
        <f aca="false">ABS(AB84-AC84)</f>
        <v>2</v>
      </c>
      <c r="AH84" s="13" t="n">
        <f aca="false">R84+S84</f>
        <v>6</v>
      </c>
      <c r="AI84" s="14" t="n">
        <f aca="false">V84+W84</f>
        <v>9.478</v>
      </c>
      <c r="AJ84" s="14" t="n">
        <f aca="false">X84+Y84</f>
        <v>6.1607</v>
      </c>
      <c r="AK84" s="13" t="n">
        <f aca="false">IF(AB84=AC84,1,0)</f>
        <v>0</v>
      </c>
    </row>
    <row r="85" customFormat="false" ht="15" hidden="false" customHeight="false" outlineLevel="0" collapsed="false">
      <c r="A85" s="12" t="n">
        <v>82</v>
      </c>
      <c r="B85" s="13" t="n">
        <f aca="true">ROUND(MAX(30,MIN(95,Inputs!$C$11+(RAND()+RAND()+RAND()-1.5)*Inputs!$C$12*2)),0)</f>
        <v>79</v>
      </c>
      <c r="C85" s="13" t="n">
        <f aca="true">ROUND(MAX(30,MIN(95,Inputs!$C$11+(RAND()+RAND()+RAND()-1.5)*Inputs!$C$12*2)),0)</f>
        <v>60</v>
      </c>
      <c r="D85" s="13" t="n">
        <f aca="true">ROUND(MAX(30,MIN(95,Inputs!$C$13+(RAND()+RAND()+RAND()-1.5)*Inputs!$C$14*2)),0)</f>
        <v>44</v>
      </c>
      <c r="E85" s="13" t="n">
        <f aca="true">ROUND(MAX(30,MIN(95,Inputs!$C$13+(RAND()+RAND()+RAND()-1.5)*Inputs!$C$14*2)),0)</f>
        <v>88</v>
      </c>
      <c r="F85" s="13" t="n">
        <f aca="false">RANDBETWEEN(Inputs!$C$5,Inputs!$C$6)</f>
        <v>65</v>
      </c>
      <c r="G85" s="13" t="n">
        <f aca="false">ROUND(F85*Inputs!$C$7*Inputs!$C$8,0)</f>
        <v>5</v>
      </c>
      <c r="H85" s="13" t="n">
        <f aca="false">ROUND(F85*Inputs!$C$7*(1-Inputs!$C$8),0)</f>
        <v>11</v>
      </c>
      <c r="I85" s="13" t="n">
        <f aca="false">F85-G85-H85</f>
        <v>49</v>
      </c>
      <c r="J85" s="14" t="n">
        <f aca="false">(G85/2)*MAX(0,MIN(1,Inputs!$C$19+(B85-C85)*Inputs!$C$20))</f>
        <v>0.3925</v>
      </c>
      <c r="K85" s="14" t="n">
        <f aca="false">(G85/2)*MAX(0,MIN(1,Inputs!$C$19+(C85-B85)*Inputs!$C$20))</f>
        <v>0.1075</v>
      </c>
      <c r="L85" s="14" t="n">
        <f aca="false">(H85/2)*MAX(0,1-MIN(1,Inputs!$C$23+(C85-B85)*Inputs!$C$24))*0.5</f>
        <v>0.48675</v>
      </c>
      <c r="M85" s="14" t="n">
        <f aca="false">(H85/2)*MAX(0,1-MIN(1,Inputs!$C$23+(B85-C85)*Inputs!$C$24))*0.5</f>
        <v>0.17325</v>
      </c>
      <c r="N85" s="13" t="n">
        <f aca="false">ROUND(F85*(0.5+(B85-C85)*0.005),0)</f>
        <v>39</v>
      </c>
      <c r="O85" s="13" t="n">
        <f aca="false">F85-N85</f>
        <v>26</v>
      </c>
      <c r="P85" s="14" t="n">
        <f aca="false">N85*MAX(0,MIN(1,Inputs!$C$32+(D85-E85)*Inputs!$C$33))</f>
        <v>4.602</v>
      </c>
      <c r="Q85" s="14" t="n">
        <f aca="false">O85*MAX(0,MIN(1,Inputs!$C$32+(E85-D85)*Inputs!$C$33))</f>
        <v>9.932</v>
      </c>
      <c r="R85" s="13" t="n">
        <f aca="false">ROUND(P85*Inputs!$C$31,0)</f>
        <v>1</v>
      </c>
      <c r="S85" s="13" t="n">
        <f aca="false">ROUND(Q85*Inputs!$C$31,0)</f>
        <v>3</v>
      </c>
      <c r="T85" s="14" t="n">
        <f aca="false">J85+L85+I85*Inputs!$C$28*0.5</f>
        <v>5.28925</v>
      </c>
      <c r="U85" s="14" t="n">
        <f aca="false">K85+M85+I85*Inputs!$C$28*0.5</f>
        <v>4.69075</v>
      </c>
      <c r="V85" s="14" t="n">
        <f aca="false">T85*Inputs!$C$36</f>
        <v>3.702475</v>
      </c>
      <c r="W85" s="14" t="n">
        <f aca="false">U85*Inputs!$C$36</f>
        <v>3.283525</v>
      </c>
      <c r="X85" s="14" t="n">
        <f aca="false">V85*Inputs!$C$37</f>
        <v>2.40660875</v>
      </c>
      <c r="Y85" s="14" t="n">
        <f aca="false">W85*Inputs!$C$37</f>
        <v>2.13429125</v>
      </c>
      <c r="Z85" s="14" t="n">
        <f aca="false">R85*Inputs!$C$38</f>
        <v>0.75</v>
      </c>
      <c r="AA85" s="14" t="n">
        <f aca="false">S85*Inputs!$C$38</f>
        <v>2.25</v>
      </c>
      <c r="AB85" s="13" t="n">
        <f aca="false">ROUND(R85*5+Z85*2+X85*3,0)</f>
        <v>14</v>
      </c>
      <c r="AC85" s="13" t="n">
        <f aca="false">ROUND(S85*5+AA85*2+Y85*3,0)</f>
        <v>26</v>
      </c>
      <c r="AD85" s="13" t="n">
        <f aca="true">IF(RAND()&lt;Inputs!$C$41,1,0)+IF(RAND()&lt;Inputs!$C$41,1,0)</f>
        <v>0</v>
      </c>
      <c r="AE85" s="13" t="n">
        <f aca="true">IF(RAND()&lt;Inputs!$C$42,1,0)+IF(RAND()&lt;Inputs!$C$42,1,0)</f>
        <v>0</v>
      </c>
      <c r="AF85" s="13" t="n">
        <f aca="false">AB85+AC85</f>
        <v>40</v>
      </c>
      <c r="AG85" s="13" t="n">
        <f aca="false">ABS(AB85-AC85)</f>
        <v>12</v>
      </c>
      <c r="AH85" s="13" t="n">
        <f aca="false">R85+S85</f>
        <v>4</v>
      </c>
      <c r="AI85" s="14" t="n">
        <f aca="false">V85+W85</f>
        <v>6.986</v>
      </c>
      <c r="AJ85" s="14" t="n">
        <f aca="false">X85+Y85</f>
        <v>4.5409</v>
      </c>
      <c r="AK85" s="13" t="n">
        <f aca="false">IF(AB85=AC85,1,0)</f>
        <v>0</v>
      </c>
    </row>
    <row r="86" customFormat="false" ht="15" hidden="false" customHeight="false" outlineLevel="0" collapsed="false">
      <c r="A86" s="12" t="n">
        <v>83</v>
      </c>
      <c r="B86" s="13" t="n">
        <f aca="true">ROUND(MAX(30,MIN(95,Inputs!$C$11+(RAND()+RAND()+RAND()-1.5)*Inputs!$C$12*2)),0)</f>
        <v>41</v>
      </c>
      <c r="C86" s="13" t="n">
        <f aca="true">ROUND(MAX(30,MIN(95,Inputs!$C$11+(RAND()+RAND()+RAND()-1.5)*Inputs!$C$12*2)),0)</f>
        <v>59</v>
      </c>
      <c r="D86" s="13" t="n">
        <f aca="true">ROUND(MAX(30,MIN(95,Inputs!$C$13+(RAND()+RAND()+RAND()-1.5)*Inputs!$C$14*2)),0)</f>
        <v>69</v>
      </c>
      <c r="E86" s="13" t="n">
        <f aca="true">ROUND(MAX(30,MIN(95,Inputs!$C$13+(RAND()+RAND()+RAND()-1.5)*Inputs!$C$14*2)),0)</f>
        <v>55</v>
      </c>
      <c r="F86" s="13" t="n">
        <f aca="false">RANDBETWEEN(Inputs!$C$5,Inputs!$C$6)</f>
        <v>71</v>
      </c>
      <c r="G86" s="13" t="n">
        <f aca="false">ROUND(F86*Inputs!$C$7*Inputs!$C$8,0)</f>
        <v>5</v>
      </c>
      <c r="H86" s="13" t="n">
        <f aca="false">ROUND(F86*Inputs!$C$7*(1-Inputs!$C$8),0)</f>
        <v>12</v>
      </c>
      <c r="I86" s="13" t="n">
        <f aca="false">F86-G86-H86</f>
        <v>54</v>
      </c>
      <c r="J86" s="14" t="n">
        <f aca="false">(G86/2)*MAX(0,MIN(1,Inputs!$C$19+(B86-C86)*Inputs!$C$20))</f>
        <v>0.115</v>
      </c>
      <c r="K86" s="14" t="n">
        <f aca="false">(G86/2)*MAX(0,MIN(1,Inputs!$C$19+(C86-B86)*Inputs!$C$20))</f>
        <v>0.385</v>
      </c>
      <c r="L86" s="14" t="n">
        <f aca="false">(H86/2)*MAX(0,1-MIN(1,Inputs!$C$23+(C86-B86)*Inputs!$C$24))*0.5</f>
        <v>0.198</v>
      </c>
      <c r="M86" s="14" t="n">
        <f aca="false">(H86/2)*MAX(0,1-MIN(1,Inputs!$C$23+(B86-C86)*Inputs!$C$24))*0.5</f>
        <v>0.522</v>
      </c>
      <c r="N86" s="13" t="n">
        <f aca="false">ROUND(F86*(0.5+(B86-C86)*0.005),0)</f>
        <v>29</v>
      </c>
      <c r="O86" s="13" t="n">
        <f aca="false">F86-N86</f>
        <v>42</v>
      </c>
      <c r="P86" s="14" t="n">
        <f aca="false">N86*MAX(0,MIN(1,Inputs!$C$32+(D86-E86)*Inputs!$C$33))</f>
        <v>8.468</v>
      </c>
      <c r="Q86" s="14" t="n">
        <f aca="false">O86*MAX(0,MIN(1,Inputs!$C$32+(E86-D86)*Inputs!$C$33))</f>
        <v>8.736</v>
      </c>
      <c r="R86" s="13" t="n">
        <f aca="false">ROUND(P86*Inputs!$C$31,0)</f>
        <v>3</v>
      </c>
      <c r="S86" s="13" t="n">
        <f aca="false">ROUND(Q86*Inputs!$C$31,0)</f>
        <v>3</v>
      </c>
      <c r="T86" s="14" t="n">
        <f aca="false">J86+L86+I86*Inputs!$C$28*0.5</f>
        <v>5.173</v>
      </c>
      <c r="U86" s="14" t="n">
        <f aca="false">K86+M86+I86*Inputs!$C$28*0.5</f>
        <v>5.767</v>
      </c>
      <c r="V86" s="14" t="n">
        <f aca="false">T86*Inputs!$C$36</f>
        <v>3.6211</v>
      </c>
      <c r="W86" s="14" t="n">
        <f aca="false">U86*Inputs!$C$36</f>
        <v>4.0369</v>
      </c>
      <c r="X86" s="14" t="n">
        <f aca="false">V86*Inputs!$C$37</f>
        <v>2.353715</v>
      </c>
      <c r="Y86" s="14" t="n">
        <f aca="false">W86*Inputs!$C$37</f>
        <v>2.623985</v>
      </c>
      <c r="Z86" s="14" t="n">
        <f aca="false">R86*Inputs!$C$38</f>
        <v>2.25</v>
      </c>
      <c r="AA86" s="14" t="n">
        <f aca="false">S86*Inputs!$C$38</f>
        <v>2.25</v>
      </c>
      <c r="AB86" s="13" t="n">
        <f aca="false">ROUND(R86*5+Z86*2+X86*3,0)</f>
        <v>27</v>
      </c>
      <c r="AC86" s="13" t="n">
        <f aca="false">ROUND(S86*5+AA86*2+Y86*3,0)</f>
        <v>27</v>
      </c>
      <c r="AD86" s="13" t="n">
        <f aca="true">IF(RAND()&lt;Inputs!$C$41,1,0)+IF(RAND()&lt;Inputs!$C$41,1,0)</f>
        <v>1</v>
      </c>
      <c r="AE86" s="13" t="n">
        <f aca="true">IF(RAND()&lt;Inputs!$C$42,1,0)+IF(RAND()&lt;Inputs!$C$42,1,0)</f>
        <v>0</v>
      </c>
      <c r="AF86" s="13" t="n">
        <f aca="false">AB86+AC86</f>
        <v>54</v>
      </c>
      <c r="AG86" s="13" t="n">
        <f aca="false">ABS(AB86-AC86)</f>
        <v>0</v>
      </c>
      <c r="AH86" s="13" t="n">
        <f aca="false">R86+S86</f>
        <v>6</v>
      </c>
      <c r="AI86" s="14" t="n">
        <f aca="false">V86+W86</f>
        <v>7.658</v>
      </c>
      <c r="AJ86" s="14" t="n">
        <f aca="false">X86+Y86</f>
        <v>4.9777</v>
      </c>
      <c r="AK86" s="13" t="n">
        <f aca="false">IF(AB86=AC86,1,0)</f>
        <v>1</v>
      </c>
    </row>
    <row r="87" customFormat="false" ht="15" hidden="false" customHeight="false" outlineLevel="0" collapsed="false">
      <c r="A87" s="12" t="n">
        <v>84</v>
      </c>
      <c r="B87" s="13" t="n">
        <f aca="true">ROUND(MAX(30,MIN(95,Inputs!$C$11+(RAND()+RAND()+RAND()-1.5)*Inputs!$C$12*2)),0)</f>
        <v>71</v>
      </c>
      <c r="C87" s="13" t="n">
        <f aca="true">ROUND(MAX(30,MIN(95,Inputs!$C$11+(RAND()+RAND()+RAND()-1.5)*Inputs!$C$12*2)),0)</f>
        <v>42</v>
      </c>
      <c r="D87" s="13" t="n">
        <f aca="true">ROUND(MAX(30,MIN(95,Inputs!$C$13+(RAND()+RAND()+RAND()-1.5)*Inputs!$C$14*2)),0)</f>
        <v>62</v>
      </c>
      <c r="E87" s="13" t="n">
        <f aca="true">ROUND(MAX(30,MIN(95,Inputs!$C$13+(RAND()+RAND()+RAND()-1.5)*Inputs!$C$14*2)),0)</f>
        <v>48</v>
      </c>
      <c r="F87" s="13" t="n">
        <f aca="false">RANDBETWEEN(Inputs!$C$5,Inputs!$C$6)</f>
        <v>70</v>
      </c>
      <c r="G87" s="13" t="n">
        <f aca="false">ROUND(F87*Inputs!$C$7*Inputs!$C$8,0)</f>
        <v>5</v>
      </c>
      <c r="H87" s="13" t="n">
        <f aca="false">ROUND(F87*Inputs!$C$7*(1-Inputs!$C$8),0)</f>
        <v>12</v>
      </c>
      <c r="I87" s="13" t="n">
        <f aca="false">F87-G87-H87</f>
        <v>53</v>
      </c>
      <c r="J87" s="14" t="n">
        <f aca="false">(G87/2)*MAX(0,MIN(1,Inputs!$C$19+(B87-C87)*Inputs!$C$20))</f>
        <v>0.4675</v>
      </c>
      <c r="K87" s="14" t="n">
        <f aca="false">(G87/2)*MAX(0,MIN(1,Inputs!$C$19+(C87-B87)*Inputs!$C$20))</f>
        <v>0.0325</v>
      </c>
      <c r="L87" s="14" t="n">
        <f aca="false">(H87/2)*MAX(0,1-MIN(1,Inputs!$C$23+(C87-B87)*Inputs!$C$24))*0.5</f>
        <v>0.621</v>
      </c>
      <c r="M87" s="14" t="n">
        <f aca="false">(H87/2)*MAX(0,1-MIN(1,Inputs!$C$23+(B87-C87)*Inputs!$C$24))*0.5</f>
        <v>0.0990000000000001</v>
      </c>
      <c r="N87" s="13" t="n">
        <f aca="false">ROUND(F87*(0.5+(B87-C87)*0.005),0)</f>
        <v>45</v>
      </c>
      <c r="O87" s="13" t="n">
        <f aca="false">F87-N87</f>
        <v>25</v>
      </c>
      <c r="P87" s="14" t="n">
        <f aca="false">N87*MAX(0,MIN(1,Inputs!$C$32+(D87-E87)*Inputs!$C$33))</f>
        <v>13.14</v>
      </c>
      <c r="Q87" s="14" t="n">
        <f aca="false">O87*MAX(0,MIN(1,Inputs!$C$32+(E87-D87)*Inputs!$C$33))</f>
        <v>5.2</v>
      </c>
      <c r="R87" s="13" t="n">
        <f aca="false">ROUND(P87*Inputs!$C$31,0)</f>
        <v>4</v>
      </c>
      <c r="S87" s="13" t="n">
        <f aca="false">ROUND(Q87*Inputs!$C$31,0)</f>
        <v>2</v>
      </c>
      <c r="T87" s="14" t="n">
        <f aca="false">J87+L87+I87*Inputs!$C$28*0.5</f>
        <v>5.8585</v>
      </c>
      <c r="U87" s="14" t="n">
        <f aca="false">K87+M87+I87*Inputs!$C$28*0.5</f>
        <v>4.9015</v>
      </c>
      <c r="V87" s="14" t="n">
        <f aca="false">T87*Inputs!$C$36</f>
        <v>4.10095</v>
      </c>
      <c r="W87" s="14" t="n">
        <f aca="false">U87*Inputs!$C$36</f>
        <v>3.43105</v>
      </c>
      <c r="X87" s="14" t="n">
        <f aca="false">V87*Inputs!$C$37</f>
        <v>2.6656175</v>
      </c>
      <c r="Y87" s="14" t="n">
        <f aca="false">W87*Inputs!$C$37</f>
        <v>2.2301825</v>
      </c>
      <c r="Z87" s="14" t="n">
        <f aca="false">R87*Inputs!$C$38</f>
        <v>3</v>
      </c>
      <c r="AA87" s="14" t="n">
        <f aca="false">S87*Inputs!$C$38</f>
        <v>1.5</v>
      </c>
      <c r="AB87" s="13" t="n">
        <f aca="false">ROUND(R87*5+Z87*2+X87*3,0)</f>
        <v>34</v>
      </c>
      <c r="AC87" s="13" t="n">
        <f aca="false">ROUND(S87*5+AA87*2+Y87*3,0)</f>
        <v>20</v>
      </c>
      <c r="AD87" s="13" t="n">
        <f aca="true">IF(RAND()&lt;Inputs!$C$41,1,0)+IF(RAND()&lt;Inputs!$C$41,1,0)</f>
        <v>0</v>
      </c>
      <c r="AE87" s="13" t="n">
        <f aca="true">IF(RAND()&lt;Inputs!$C$42,1,0)+IF(RAND()&lt;Inputs!$C$42,1,0)</f>
        <v>0</v>
      </c>
      <c r="AF87" s="13" t="n">
        <f aca="false">AB87+AC87</f>
        <v>54</v>
      </c>
      <c r="AG87" s="13" t="n">
        <f aca="false">ABS(AB87-AC87)</f>
        <v>14</v>
      </c>
      <c r="AH87" s="13" t="n">
        <f aca="false">R87+S87</f>
        <v>6</v>
      </c>
      <c r="AI87" s="14" t="n">
        <f aca="false">V87+W87</f>
        <v>7.532</v>
      </c>
      <c r="AJ87" s="14" t="n">
        <f aca="false">X87+Y87</f>
        <v>4.8958</v>
      </c>
      <c r="AK87" s="13" t="n">
        <f aca="false">IF(AB87=AC87,1,0)</f>
        <v>0</v>
      </c>
    </row>
    <row r="88" customFormat="false" ht="15" hidden="false" customHeight="false" outlineLevel="0" collapsed="false">
      <c r="A88" s="12" t="n">
        <v>85</v>
      </c>
      <c r="B88" s="13" t="n">
        <f aca="true">ROUND(MAX(30,MIN(95,Inputs!$C$11+(RAND()+RAND()+RAND()-1.5)*Inputs!$C$12*2)),0)</f>
        <v>72</v>
      </c>
      <c r="C88" s="13" t="n">
        <f aca="true">ROUND(MAX(30,MIN(95,Inputs!$C$11+(RAND()+RAND()+RAND()-1.5)*Inputs!$C$12*2)),0)</f>
        <v>59</v>
      </c>
      <c r="D88" s="13" t="n">
        <f aca="true">ROUND(MAX(30,MIN(95,Inputs!$C$13+(RAND()+RAND()+RAND()-1.5)*Inputs!$C$14*2)),0)</f>
        <v>55</v>
      </c>
      <c r="E88" s="13" t="n">
        <f aca="true">ROUND(MAX(30,MIN(95,Inputs!$C$13+(RAND()+RAND()+RAND()-1.5)*Inputs!$C$14*2)),0)</f>
        <v>57</v>
      </c>
      <c r="F88" s="13" t="n">
        <f aca="false">RANDBETWEEN(Inputs!$C$5,Inputs!$C$6)</f>
        <v>65</v>
      </c>
      <c r="G88" s="13" t="n">
        <f aca="false">ROUND(F88*Inputs!$C$7*Inputs!$C$8,0)</f>
        <v>5</v>
      </c>
      <c r="H88" s="13" t="n">
        <f aca="false">ROUND(F88*Inputs!$C$7*(1-Inputs!$C$8),0)</f>
        <v>11</v>
      </c>
      <c r="I88" s="13" t="n">
        <f aca="false">F88-G88-H88</f>
        <v>49</v>
      </c>
      <c r="J88" s="14" t="n">
        <f aca="false">(G88/2)*MAX(0,MIN(1,Inputs!$C$19+(B88-C88)*Inputs!$C$20))</f>
        <v>0.3475</v>
      </c>
      <c r="K88" s="14" t="n">
        <f aca="false">(G88/2)*MAX(0,MIN(1,Inputs!$C$19+(C88-B88)*Inputs!$C$20))</f>
        <v>0.1525</v>
      </c>
      <c r="L88" s="14" t="n">
        <f aca="false">(H88/2)*MAX(0,1-MIN(1,Inputs!$C$23+(C88-B88)*Inputs!$C$24))*0.5</f>
        <v>0.43725</v>
      </c>
      <c r="M88" s="14" t="n">
        <f aca="false">(H88/2)*MAX(0,1-MIN(1,Inputs!$C$23+(B88-C88)*Inputs!$C$24))*0.5</f>
        <v>0.22275</v>
      </c>
      <c r="N88" s="13" t="n">
        <f aca="false">ROUND(F88*(0.5+(B88-C88)*0.005),0)</f>
        <v>37</v>
      </c>
      <c r="O88" s="13" t="n">
        <f aca="false">F88-N88</f>
        <v>28</v>
      </c>
      <c r="P88" s="14" t="n">
        <f aca="false">N88*MAX(0,MIN(1,Inputs!$C$32+(D88-E88)*Inputs!$C$33))</f>
        <v>9.028</v>
      </c>
      <c r="Q88" s="14" t="n">
        <f aca="false">O88*MAX(0,MIN(1,Inputs!$C$32+(E88-D88)*Inputs!$C$33))</f>
        <v>7.168</v>
      </c>
      <c r="R88" s="13" t="n">
        <f aca="false">ROUND(P88*Inputs!$C$31,0)</f>
        <v>3</v>
      </c>
      <c r="S88" s="13" t="n">
        <f aca="false">ROUND(Q88*Inputs!$C$31,0)</f>
        <v>2</v>
      </c>
      <c r="T88" s="14" t="n">
        <f aca="false">J88+L88+I88*Inputs!$C$28*0.5</f>
        <v>5.19475</v>
      </c>
      <c r="U88" s="14" t="n">
        <f aca="false">K88+M88+I88*Inputs!$C$28*0.5</f>
        <v>4.78525</v>
      </c>
      <c r="V88" s="14" t="n">
        <f aca="false">T88*Inputs!$C$36</f>
        <v>3.636325</v>
      </c>
      <c r="W88" s="14" t="n">
        <f aca="false">U88*Inputs!$C$36</f>
        <v>3.349675</v>
      </c>
      <c r="X88" s="14" t="n">
        <f aca="false">V88*Inputs!$C$37</f>
        <v>2.36361125</v>
      </c>
      <c r="Y88" s="14" t="n">
        <f aca="false">W88*Inputs!$C$37</f>
        <v>2.17728875</v>
      </c>
      <c r="Z88" s="14" t="n">
        <f aca="false">R88*Inputs!$C$38</f>
        <v>2.25</v>
      </c>
      <c r="AA88" s="14" t="n">
        <f aca="false">S88*Inputs!$C$38</f>
        <v>1.5</v>
      </c>
      <c r="AB88" s="13" t="n">
        <f aca="false">ROUND(R88*5+Z88*2+X88*3,0)</f>
        <v>27</v>
      </c>
      <c r="AC88" s="13" t="n">
        <f aca="false">ROUND(S88*5+AA88*2+Y88*3,0)</f>
        <v>20</v>
      </c>
      <c r="AD88" s="13" t="n">
        <f aca="true">IF(RAND()&lt;Inputs!$C$41,1,0)+IF(RAND()&lt;Inputs!$C$41,1,0)</f>
        <v>1</v>
      </c>
      <c r="AE88" s="13" t="n">
        <f aca="true">IF(RAND()&lt;Inputs!$C$42,1,0)+IF(RAND()&lt;Inputs!$C$42,1,0)</f>
        <v>0</v>
      </c>
      <c r="AF88" s="13" t="n">
        <f aca="false">AB88+AC88</f>
        <v>47</v>
      </c>
      <c r="AG88" s="13" t="n">
        <f aca="false">ABS(AB88-AC88)</f>
        <v>7</v>
      </c>
      <c r="AH88" s="13" t="n">
        <f aca="false">R88+S88</f>
        <v>5</v>
      </c>
      <c r="AI88" s="14" t="n">
        <f aca="false">V88+W88</f>
        <v>6.986</v>
      </c>
      <c r="AJ88" s="14" t="n">
        <f aca="false">X88+Y88</f>
        <v>4.5409</v>
      </c>
      <c r="AK88" s="13" t="n">
        <f aca="false">IF(AB88=AC88,1,0)</f>
        <v>0</v>
      </c>
    </row>
    <row r="89" customFormat="false" ht="15" hidden="false" customHeight="false" outlineLevel="0" collapsed="false">
      <c r="A89" s="12" t="n">
        <v>86</v>
      </c>
      <c r="B89" s="13" t="n">
        <f aca="true">ROUND(MAX(30,MIN(95,Inputs!$C$11+(RAND()+RAND()+RAND()-1.5)*Inputs!$C$12*2)),0)</f>
        <v>75</v>
      </c>
      <c r="C89" s="13" t="n">
        <f aca="true">ROUND(MAX(30,MIN(95,Inputs!$C$11+(RAND()+RAND()+RAND()-1.5)*Inputs!$C$12*2)),0)</f>
        <v>64</v>
      </c>
      <c r="D89" s="13" t="n">
        <f aca="true">ROUND(MAX(30,MIN(95,Inputs!$C$13+(RAND()+RAND()+RAND()-1.5)*Inputs!$C$14*2)),0)</f>
        <v>51</v>
      </c>
      <c r="E89" s="13" t="n">
        <f aca="true">ROUND(MAX(30,MIN(95,Inputs!$C$13+(RAND()+RAND()+RAND()-1.5)*Inputs!$C$14*2)),0)</f>
        <v>59</v>
      </c>
      <c r="F89" s="13" t="n">
        <f aca="false">RANDBETWEEN(Inputs!$C$5,Inputs!$C$6)</f>
        <v>68</v>
      </c>
      <c r="G89" s="13" t="n">
        <f aca="false">ROUND(F89*Inputs!$C$7*Inputs!$C$8,0)</f>
        <v>5</v>
      </c>
      <c r="H89" s="13" t="n">
        <f aca="false">ROUND(F89*Inputs!$C$7*(1-Inputs!$C$8),0)</f>
        <v>12</v>
      </c>
      <c r="I89" s="13" t="n">
        <f aca="false">F89-G89-H89</f>
        <v>51</v>
      </c>
      <c r="J89" s="14" t="n">
        <f aca="false">(G89/2)*MAX(0,MIN(1,Inputs!$C$19+(B89-C89)*Inputs!$C$20))</f>
        <v>0.3325</v>
      </c>
      <c r="K89" s="14" t="n">
        <f aca="false">(G89/2)*MAX(0,MIN(1,Inputs!$C$19+(C89-B89)*Inputs!$C$20))</f>
        <v>0.1675</v>
      </c>
      <c r="L89" s="14" t="n">
        <f aca="false">(H89/2)*MAX(0,1-MIN(1,Inputs!$C$23+(C89-B89)*Inputs!$C$24))*0.5</f>
        <v>0.459</v>
      </c>
      <c r="M89" s="14" t="n">
        <f aca="false">(H89/2)*MAX(0,1-MIN(1,Inputs!$C$23+(B89-C89)*Inputs!$C$24))*0.5</f>
        <v>0.261</v>
      </c>
      <c r="N89" s="13" t="n">
        <f aca="false">ROUND(F89*(0.5+(B89-C89)*0.005),0)</f>
        <v>38</v>
      </c>
      <c r="O89" s="13" t="n">
        <f aca="false">F89-N89</f>
        <v>30</v>
      </c>
      <c r="P89" s="14" t="n">
        <f aca="false">N89*MAX(0,MIN(1,Inputs!$C$32+(D89-E89)*Inputs!$C$33))</f>
        <v>8.588</v>
      </c>
      <c r="Q89" s="14" t="n">
        <f aca="false">O89*MAX(0,MIN(1,Inputs!$C$32+(E89-D89)*Inputs!$C$33))</f>
        <v>8.22</v>
      </c>
      <c r="R89" s="13" t="n">
        <f aca="false">ROUND(P89*Inputs!$C$31,0)</f>
        <v>3</v>
      </c>
      <c r="S89" s="13" t="n">
        <f aca="false">ROUND(Q89*Inputs!$C$31,0)</f>
        <v>2</v>
      </c>
      <c r="T89" s="14" t="n">
        <f aca="false">J89+L89+I89*Inputs!$C$28*0.5</f>
        <v>5.3815</v>
      </c>
      <c r="U89" s="14" t="n">
        <f aca="false">K89+M89+I89*Inputs!$C$28*0.5</f>
        <v>5.0185</v>
      </c>
      <c r="V89" s="14" t="n">
        <f aca="false">T89*Inputs!$C$36</f>
        <v>3.76705</v>
      </c>
      <c r="W89" s="14" t="n">
        <f aca="false">U89*Inputs!$C$36</f>
        <v>3.51295</v>
      </c>
      <c r="X89" s="14" t="n">
        <f aca="false">V89*Inputs!$C$37</f>
        <v>2.4485825</v>
      </c>
      <c r="Y89" s="14" t="n">
        <f aca="false">W89*Inputs!$C$37</f>
        <v>2.2834175</v>
      </c>
      <c r="Z89" s="14" t="n">
        <f aca="false">R89*Inputs!$C$38</f>
        <v>2.25</v>
      </c>
      <c r="AA89" s="14" t="n">
        <f aca="false">S89*Inputs!$C$38</f>
        <v>1.5</v>
      </c>
      <c r="AB89" s="13" t="n">
        <f aca="false">ROUND(R89*5+Z89*2+X89*3,0)</f>
        <v>27</v>
      </c>
      <c r="AC89" s="13" t="n">
        <f aca="false">ROUND(S89*5+AA89*2+Y89*3,0)</f>
        <v>20</v>
      </c>
      <c r="AD89" s="13" t="n">
        <f aca="true">IF(RAND()&lt;Inputs!$C$41,1,0)+IF(RAND()&lt;Inputs!$C$41,1,0)</f>
        <v>0</v>
      </c>
      <c r="AE89" s="13" t="n">
        <f aca="true">IF(RAND()&lt;Inputs!$C$42,1,0)+IF(RAND()&lt;Inputs!$C$42,1,0)</f>
        <v>0</v>
      </c>
      <c r="AF89" s="13" t="n">
        <f aca="false">AB89+AC89</f>
        <v>47</v>
      </c>
      <c r="AG89" s="13" t="n">
        <f aca="false">ABS(AB89-AC89)</f>
        <v>7</v>
      </c>
      <c r="AH89" s="13" t="n">
        <f aca="false">R89+S89</f>
        <v>5</v>
      </c>
      <c r="AI89" s="14" t="n">
        <f aca="false">V89+W89</f>
        <v>7.28</v>
      </c>
      <c r="AJ89" s="14" t="n">
        <f aca="false">X89+Y89</f>
        <v>4.732</v>
      </c>
      <c r="AK89" s="13" t="n">
        <f aca="false">IF(AB89=AC89,1,0)</f>
        <v>0</v>
      </c>
    </row>
    <row r="90" customFormat="false" ht="15" hidden="false" customHeight="false" outlineLevel="0" collapsed="false">
      <c r="A90" s="12" t="n">
        <v>87</v>
      </c>
      <c r="B90" s="13" t="n">
        <f aca="true">ROUND(MAX(30,MIN(95,Inputs!$C$11+(RAND()+RAND()+RAND()-1.5)*Inputs!$C$12*2)),0)</f>
        <v>92</v>
      </c>
      <c r="C90" s="13" t="n">
        <f aca="true">ROUND(MAX(30,MIN(95,Inputs!$C$11+(RAND()+RAND()+RAND()-1.5)*Inputs!$C$12*2)),0)</f>
        <v>62</v>
      </c>
      <c r="D90" s="13" t="n">
        <f aca="true">ROUND(MAX(30,MIN(95,Inputs!$C$13+(RAND()+RAND()+RAND()-1.5)*Inputs!$C$14*2)),0)</f>
        <v>75</v>
      </c>
      <c r="E90" s="13" t="n">
        <f aca="true">ROUND(MAX(30,MIN(95,Inputs!$C$13+(RAND()+RAND()+RAND()-1.5)*Inputs!$C$14*2)),0)</f>
        <v>71</v>
      </c>
      <c r="F90" s="13" t="n">
        <f aca="false">RANDBETWEEN(Inputs!$C$5,Inputs!$C$6)</f>
        <v>87</v>
      </c>
      <c r="G90" s="13" t="n">
        <f aca="false">ROUND(F90*Inputs!$C$7*Inputs!$C$8,0)</f>
        <v>7</v>
      </c>
      <c r="H90" s="13" t="n">
        <f aca="false">ROUND(F90*Inputs!$C$7*(1-Inputs!$C$8),0)</f>
        <v>15</v>
      </c>
      <c r="I90" s="13" t="n">
        <f aca="false">F90-G90-H90</f>
        <v>65</v>
      </c>
      <c r="J90" s="14" t="n">
        <f aca="false">(G90/2)*MAX(0,MIN(1,Inputs!$C$19+(B90-C90)*Inputs!$C$20))</f>
        <v>0.665</v>
      </c>
      <c r="K90" s="14" t="n">
        <f aca="false">(G90/2)*MAX(0,MIN(1,Inputs!$C$19+(C90-B90)*Inputs!$C$20))</f>
        <v>0.035</v>
      </c>
      <c r="L90" s="14" t="n">
        <f aca="false">(H90/2)*MAX(0,1-MIN(1,Inputs!$C$23+(C90-B90)*Inputs!$C$24))*0.5</f>
        <v>0.7875</v>
      </c>
      <c r="M90" s="14" t="n">
        <f aca="false">(H90/2)*MAX(0,1-MIN(1,Inputs!$C$23+(B90-C90)*Inputs!$C$24))*0.5</f>
        <v>0.1125</v>
      </c>
      <c r="N90" s="13" t="n">
        <f aca="false">ROUND(F90*(0.5+(B90-C90)*0.005),0)</f>
        <v>57</v>
      </c>
      <c r="O90" s="13" t="n">
        <f aca="false">F90-N90</f>
        <v>30</v>
      </c>
      <c r="P90" s="14" t="n">
        <f aca="false">N90*MAX(0,MIN(1,Inputs!$C$32+(D90-E90)*Inputs!$C$33))</f>
        <v>14.934</v>
      </c>
      <c r="Q90" s="14" t="n">
        <f aca="false">O90*MAX(0,MIN(1,Inputs!$C$32+(E90-D90)*Inputs!$C$33))</f>
        <v>7.14</v>
      </c>
      <c r="R90" s="13" t="n">
        <f aca="false">ROUND(P90*Inputs!$C$31,0)</f>
        <v>4</v>
      </c>
      <c r="S90" s="13" t="n">
        <f aca="false">ROUND(Q90*Inputs!$C$31,0)</f>
        <v>2</v>
      </c>
      <c r="T90" s="14" t="n">
        <f aca="false">J90+L90+I90*Inputs!$C$28*0.5</f>
        <v>7.3025</v>
      </c>
      <c r="U90" s="14" t="n">
        <f aca="false">K90+M90+I90*Inputs!$C$28*0.5</f>
        <v>5.9975</v>
      </c>
      <c r="V90" s="14" t="n">
        <f aca="false">T90*Inputs!$C$36</f>
        <v>5.11175</v>
      </c>
      <c r="W90" s="14" t="n">
        <f aca="false">U90*Inputs!$C$36</f>
        <v>4.19825</v>
      </c>
      <c r="X90" s="14" t="n">
        <f aca="false">V90*Inputs!$C$37</f>
        <v>3.3226375</v>
      </c>
      <c r="Y90" s="14" t="n">
        <f aca="false">W90*Inputs!$C$37</f>
        <v>2.7288625</v>
      </c>
      <c r="Z90" s="14" t="n">
        <f aca="false">R90*Inputs!$C$38</f>
        <v>3</v>
      </c>
      <c r="AA90" s="14" t="n">
        <f aca="false">S90*Inputs!$C$38</f>
        <v>1.5</v>
      </c>
      <c r="AB90" s="13" t="n">
        <f aca="false">ROUND(R90*5+Z90*2+X90*3,0)</f>
        <v>36</v>
      </c>
      <c r="AC90" s="13" t="n">
        <f aca="false">ROUND(S90*5+AA90*2+Y90*3,0)</f>
        <v>21</v>
      </c>
      <c r="AD90" s="13" t="n">
        <f aca="true">IF(RAND()&lt;Inputs!$C$41,1,0)+IF(RAND()&lt;Inputs!$C$41,1,0)</f>
        <v>1</v>
      </c>
      <c r="AE90" s="13" t="n">
        <f aca="true">IF(RAND()&lt;Inputs!$C$42,1,0)+IF(RAND()&lt;Inputs!$C$42,1,0)</f>
        <v>0</v>
      </c>
      <c r="AF90" s="13" t="n">
        <f aca="false">AB90+AC90</f>
        <v>57</v>
      </c>
      <c r="AG90" s="13" t="n">
        <f aca="false">ABS(AB90-AC90)</f>
        <v>15</v>
      </c>
      <c r="AH90" s="13" t="n">
        <f aca="false">R90+S90</f>
        <v>6</v>
      </c>
      <c r="AI90" s="14" t="n">
        <f aca="false">V90+W90</f>
        <v>9.31</v>
      </c>
      <c r="AJ90" s="14" t="n">
        <f aca="false">X90+Y90</f>
        <v>6.0515</v>
      </c>
      <c r="AK90" s="13" t="n">
        <f aca="false">IF(AB90=AC90,1,0)</f>
        <v>0</v>
      </c>
    </row>
    <row r="91" customFormat="false" ht="15" hidden="false" customHeight="false" outlineLevel="0" collapsed="false">
      <c r="A91" s="12" t="n">
        <v>88</v>
      </c>
      <c r="B91" s="13" t="n">
        <f aca="true">ROUND(MAX(30,MIN(95,Inputs!$C$11+(RAND()+RAND()+RAND()-1.5)*Inputs!$C$12*2)),0)</f>
        <v>58</v>
      </c>
      <c r="C91" s="13" t="n">
        <f aca="true">ROUND(MAX(30,MIN(95,Inputs!$C$11+(RAND()+RAND()+RAND()-1.5)*Inputs!$C$12*2)),0)</f>
        <v>57</v>
      </c>
      <c r="D91" s="13" t="n">
        <f aca="true">ROUND(MAX(30,MIN(95,Inputs!$C$13+(RAND()+RAND()+RAND()-1.5)*Inputs!$C$14*2)),0)</f>
        <v>68</v>
      </c>
      <c r="E91" s="13" t="n">
        <f aca="true">ROUND(MAX(30,MIN(95,Inputs!$C$13+(RAND()+RAND()+RAND()-1.5)*Inputs!$C$14*2)),0)</f>
        <v>68</v>
      </c>
      <c r="F91" s="13" t="n">
        <f aca="false">RANDBETWEEN(Inputs!$C$5,Inputs!$C$6)</f>
        <v>84</v>
      </c>
      <c r="G91" s="13" t="n">
        <f aca="false">ROUND(F91*Inputs!$C$7*Inputs!$C$8,0)</f>
        <v>6</v>
      </c>
      <c r="H91" s="13" t="n">
        <f aca="false">ROUND(F91*Inputs!$C$7*(1-Inputs!$C$8),0)</f>
        <v>15</v>
      </c>
      <c r="I91" s="13" t="n">
        <f aca="false">F91-G91-H91</f>
        <v>63</v>
      </c>
      <c r="J91" s="14" t="n">
        <f aca="false">(G91/2)*MAX(0,MIN(1,Inputs!$C$19+(B91-C91)*Inputs!$C$20))</f>
        <v>0.309</v>
      </c>
      <c r="K91" s="14" t="n">
        <f aca="false">(G91/2)*MAX(0,MIN(1,Inputs!$C$19+(C91-B91)*Inputs!$C$20))</f>
        <v>0.291</v>
      </c>
      <c r="L91" s="14" t="n">
        <f aca="false">(H91/2)*MAX(0,1-MIN(1,Inputs!$C$23+(C91-B91)*Inputs!$C$24))*0.5</f>
        <v>0.46125</v>
      </c>
      <c r="M91" s="14" t="n">
        <f aca="false">(H91/2)*MAX(0,1-MIN(1,Inputs!$C$23+(B91-C91)*Inputs!$C$24))*0.5</f>
        <v>0.43875</v>
      </c>
      <c r="N91" s="13" t="n">
        <f aca="false">ROUND(F91*(0.5+(B91-C91)*0.005),0)</f>
        <v>42</v>
      </c>
      <c r="O91" s="13" t="n">
        <f aca="false">F91-N91</f>
        <v>42</v>
      </c>
      <c r="P91" s="14" t="n">
        <f aca="false">N91*MAX(0,MIN(1,Inputs!$C$32+(D91-E91)*Inputs!$C$33))</f>
        <v>10.5</v>
      </c>
      <c r="Q91" s="14" t="n">
        <f aca="false">O91*MAX(0,MIN(1,Inputs!$C$32+(E91-D91)*Inputs!$C$33))</f>
        <v>10.5</v>
      </c>
      <c r="R91" s="13" t="n">
        <f aca="false">ROUND(P91*Inputs!$C$31,0)</f>
        <v>3</v>
      </c>
      <c r="S91" s="13" t="n">
        <f aca="false">ROUND(Q91*Inputs!$C$31,0)</f>
        <v>3</v>
      </c>
      <c r="T91" s="14" t="n">
        <f aca="false">J91+L91+I91*Inputs!$C$28*0.5</f>
        <v>6.44025</v>
      </c>
      <c r="U91" s="14" t="n">
        <f aca="false">K91+M91+I91*Inputs!$C$28*0.5</f>
        <v>6.39975</v>
      </c>
      <c r="V91" s="14" t="n">
        <f aca="false">T91*Inputs!$C$36</f>
        <v>4.508175</v>
      </c>
      <c r="W91" s="14" t="n">
        <f aca="false">U91*Inputs!$C$36</f>
        <v>4.479825</v>
      </c>
      <c r="X91" s="14" t="n">
        <f aca="false">V91*Inputs!$C$37</f>
        <v>2.93031375</v>
      </c>
      <c r="Y91" s="14" t="n">
        <f aca="false">W91*Inputs!$C$37</f>
        <v>2.91188625</v>
      </c>
      <c r="Z91" s="14" t="n">
        <f aca="false">R91*Inputs!$C$38</f>
        <v>2.25</v>
      </c>
      <c r="AA91" s="14" t="n">
        <f aca="false">S91*Inputs!$C$38</f>
        <v>2.25</v>
      </c>
      <c r="AB91" s="13" t="n">
        <f aca="false">ROUND(R91*5+Z91*2+X91*3,0)</f>
        <v>28</v>
      </c>
      <c r="AC91" s="13" t="n">
        <f aca="false">ROUND(S91*5+AA91*2+Y91*3,0)</f>
        <v>28</v>
      </c>
      <c r="AD91" s="13" t="n">
        <f aca="true">IF(RAND()&lt;Inputs!$C$41,1,0)+IF(RAND()&lt;Inputs!$C$41,1,0)</f>
        <v>2</v>
      </c>
      <c r="AE91" s="13" t="n">
        <f aca="true">IF(RAND()&lt;Inputs!$C$42,1,0)+IF(RAND()&lt;Inputs!$C$42,1,0)</f>
        <v>0</v>
      </c>
      <c r="AF91" s="13" t="n">
        <f aca="false">AB91+AC91</f>
        <v>56</v>
      </c>
      <c r="AG91" s="13" t="n">
        <f aca="false">ABS(AB91-AC91)</f>
        <v>0</v>
      </c>
      <c r="AH91" s="13" t="n">
        <f aca="false">R91+S91</f>
        <v>6</v>
      </c>
      <c r="AI91" s="14" t="n">
        <f aca="false">V91+W91</f>
        <v>8.988</v>
      </c>
      <c r="AJ91" s="14" t="n">
        <f aca="false">X91+Y91</f>
        <v>5.8422</v>
      </c>
      <c r="AK91" s="13" t="n">
        <f aca="false">IF(AB91=AC91,1,0)</f>
        <v>1</v>
      </c>
    </row>
    <row r="92" customFormat="false" ht="15" hidden="false" customHeight="false" outlineLevel="0" collapsed="false">
      <c r="A92" s="12" t="n">
        <v>89</v>
      </c>
      <c r="B92" s="13" t="n">
        <f aca="true">ROUND(MAX(30,MIN(95,Inputs!$C$11+(RAND()+RAND()+RAND()-1.5)*Inputs!$C$12*2)),0)</f>
        <v>66</v>
      </c>
      <c r="C92" s="13" t="n">
        <f aca="true">ROUND(MAX(30,MIN(95,Inputs!$C$11+(RAND()+RAND()+RAND()-1.5)*Inputs!$C$12*2)),0)</f>
        <v>53</v>
      </c>
      <c r="D92" s="13" t="n">
        <f aca="true">ROUND(MAX(30,MIN(95,Inputs!$C$13+(RAND()+RAND()+RAND()-1.5)*Inputs!$C$14*2)),0)</f>
        <v>66</v>
      </c>
      <c r="E92" s="13" t="n">
        <f aca="true">ROUND(MAX(30,MIN(95,Inputs!$C$13+(RAND()+RAND()+RAND()-1.5)*Inputs!$C$14*2)),0)</f>
        <v>40</v>
      </c>
      <c r="F92" s="13" t="n">
        <f aca="false">RANDBETWEEN(Inputs!$C$5,Inputs!$C$6)</f>
        <v>72</v>
      </c>
      <c r="G92" s="13" t="n">
        <f aca="false">ROUND(F92*Inputs!$C$7*Inputs!$C$8,0)</f>
        <v>5</v>
      </c>
      <c r="H92" s="13" t="n">
        <f aca="false">ROUND(F92*Inputs!$C$7*(1-Inputs!$C$8),0)</f>
        <v>13</v>
      </c>
      <c r="I92" s="13" t="n">
        <f aca="false">F92-G92-H92</f>
        <v>54</v>
      </c>
      <c r="J92" s="14" t="n">
        <f aca="false">(G92/2)*MAX(0,MIN(1,Inputs!$C$19+(B92-C92)*Inputs!$C$20))</f>
        <v>0.3475</v>
      </c>
      <c r="K92" s="14" t="n">
        <f aca="false">(G92/2)*MAX(0,MIN(1,Inputs!$C$19+(C92-B92)*Inputs!$C$20))</f>
        <v>0.1525</v>
      </c>
      <c r="L92" s="14" t="n">
        <f aca="false">(H92/2)*MAX(0,1-MIN(1,Inputs!$C$23+(C92-B92)*Inputs!$C$24))*0.5</f>
        <v>0.51675</v>
      </c>
      <c r="M92" s="14" t="n">
        <f aca="false">(H92/2)*MAX(0,1-MIN(1,Inputs!$C$23+(B92-C92)*Inputs!$C$24))*0.5</f>
        <v>0.26325</v>
      </c>
      <c r="N92" s="13" t="n">
        <f aca="false">ROUND(F92*(0.5+(B92-C92)*0.005),0)</f>
        <v>41</v>
      </c>
      <c r="O92" s="13" t="n">
        <f aca="false">F92-N92</f>
        <v>31</v>
      </c>
      <c r="P92" s="14" t="n">
        <f aca="false">N92*MAX(0,MIN(1,Inputs!$C$32+(D92-E92)*Inputs!$C$33))</f>
        <v>13.448</v>
      </c>
      <c r="Q92" s="14" t="n">
        <f aca="false">O92*MAX(0,MIN(1,Inputs!$C$32+(E92-D92)*Inputs!$C$33))</f>
        <v>5.332</v>
      </c>
      <c r="R92" s="13" t="n">
        <f aca="false">ROUND(P92*Inputs!$C$31,0)</f>
        <v>4</v>
      </c>
      <c r="S92" s="13" t="n">
        <f aca="false">ROUND(Q92*Inputs!$C$31,0)</f>
        <v>2</v>
      </c>
      <c r="T92" s="14" t="n">
        <f aca="false">J92+L92+I92*Inputs!$C$28*0.5</f>
        <v>5.72425</v>
      </c>
      <c r="U92" s="14" t="n">
        <f aca="false">K92+M92+I92*Inputs!$C$28*0.5</f>
        <v>5.27575</v>
      </c>
      <c r="V92" s="14" t="n">
        <f aca="false">T92*Inputs!$C$36</f>
        <v>4.006975</v>
      </c>
      <c r="W92" s="14" t="n">
        <f aca="false">U92*Inputs!$C$36</f>
        <v>3.693025</v>
      </c>
      <c r="X92" s="14" t="n">
        <f aca="false">V92*Inputs!$C$37</f>
        <v>2.60453375</v>
      </c>
      <c r="Y92" s="14" t="n">
        <f aca="false">W92*Inputs!$C$37</f>
        <v>2.40046625</v>
      </c>
      <c r="Z92" s="14" t="n">
        <f aca="false">R92*Inputs!$C$38</f>
        <v>3</v>
      </c>
      <c r="AA92" s="14" t="n">
        <f aca="false">S92*Inputs!$C$38</f>
        <v>1.5</v>
      </c>
      <c r="AB92" s="13" t="n">
        <f aca="false">ROUND(R92*5+Z92*2+X92*3,0)</f>
        <v>34</v>
      </c>
      <c r="AC92" s="13" t="n">
        <f aca="false">ROUND(S92*5+AA92*2+Y92*3,0)</f>
        <v>20</v>
      </c>
      <c r="AD92" s="13" t="n">
        <f aca="true">IF(RAND()&lt;Inputs!$C$41,1,0)+IF(RAND()&lt;Inputs!$C$41,1,0)</f>
        <v>0</v>
      </c>
      <c r="AE92" s="13" t="n">
        <f aca="true">IF(RAND()&lt;Inputs!$C$42,1,0)+IF(RAND()&lt;Inputs!$C$42,1,0)</f>
        <v>0</v>
      </c>
      <c r="AF92" s="13" t="n">
        <f aca="false">AB92+AC92</f>
        <v>54</v>
      </c>
      <c r="AG92" s="13" t="n">
        <f aca="false">ABS(AB92-AC92)</f>
        <v>14</v>
      </c>
      <c r="AH92" s="13" t="n">
        <f aca="false">R92+S92</f>
        <v>6</v>
      </c>
      <c r="AI92" s="14" t="n">
        <f aca="false">V92+W92</f>
        <v>7.7</v>
      </c>
      <c r="AJ92" s="14" t="n">
        <f aca="false">X92+Y92</f>
        <v>5.005</v>
      </c>
      <c r="AK92" s="13" t="n">
        <f aca="false">IF(AB92=AC92,1,0)</f>
        <v>0</v>
      </c>
    </row>
    <row r="93" customFormat="false" ht="15" hidden="false" customHeight="false" outlineLevel="0" collapsed="false">
      <c r="A93" s="12" t="n">
        <v>90</v>
      </c>
      <c r="B93" s="13" t="n">
        <f aca="true">ROUND(MAX(30,MIN(95,Inputs!$C$11+(RAND()+RAND()+RAND()-1.5)*Inputs!$C$12*2)),0)</f>
        <v>49</v>
      </c>
      <c r="C93" s="13" t="n">
        <f aca="true">ROUND(MAX(30,MIN(95,Inputs!$C$11+(RAND()+RAND()+RAND()-1.5)*Inputs!$C$12*2)),0)</f>
        <v>59</v>
      </c>
      <c r="D93" s="13" t="n">
        <f aca="true">ROUND(MAX(30,MIN(95,Inputs!$C$13+(RAND()+RAND()+RAND()-1.5)*Inputs!$C$14*2)),0)</f>
        <v>64</v>
      </c>
      <c r="E93" s="13" t="n">
        <f aca="true">ROUND(MAX(30,MIN(95,Inputs!$C$13+(RAND()+RAND()+RAND()-1.5)*Inputs!$C$14*2)),0)</f>
        <v>69</v>
      </c>
      <c r="F93" s="13" t="n">
        <f aca="false">RANDBETWEEN(Inputs!$C$5,Inputs!$C$6)</f>
        <v>75</v>
      </c>
      <c r="G93" s="13" t="n">
        <f aca="false">ROUND(F93*Inputs!$C$7*Inputs!$C$8,0)</f>
        <v>6</v>
      </c>
      <c r="H93" s="13" t="n">
        <f aca="false">ROUND(F93*Inputs!$C$7*(1-Inputs!$C$8),0)</f>
        <v>13</v>
      </c>
      <c r="I93" s="13" t="n">
        <f aca="false">F93-G93-H93</f>
        <v>56</v>
      </c>
      <c r="J93" s="14" t="n">
        <f aca="false">(G93/2)*MAX(0,MIN(1,Inputs!$C$19+(B93-C93)*Inputs!$C$20))</f>
        <v>0.21</v>
      </c>
      <c r="K93" s="14" t="n">
        <f aca="false">(G93/2)*MAX(0,MIN(1,Inputs!$C$19+(C93-B93)*Inputs!$C$20))</f>
        <v>0.39</v>
      </c>
      <c r="L93" s="14" t="n">
        <f aca="false">(H93/2)*MAX(0,1-MIN(1,Inputs!$C$23+(C93-B93)*Inputs!$C$24))*0.5</f>
        <v>0.2925</v>
      </c>
      <c r="M93" s="14" t="n">
        <f aca="false">(H93/2)*MAX(0,1-MIN(1,Inputs!$C$23+(B93-C93)*Inputs!$C$24))*0.5</f>
        <v>0.4875</v>
      </c>
      <c r="N93" s="13" t="n">
        <f aca="false">ROUND(F93*(0.5+(B93-C93)*0.005),0)</f>
        <v>34</v>
      </c>
      <c r="O93" s="13" t="n">
        <f aca="false">F93-N93</f>
        <v>41</v>
      </c>
      <c r="P93" s="14" t="n">
        <f aca="false">N93*MAX(0,MIN(1,Inputs!$C$32+(D93-E93)*Inputs!$C$33))</f>
        <v>7.99</v>
      </c>
      <c r="Q93" s="14" t="n">
        <f aca="false">O93*MAX(0,MIN(1,Inputs!$C$32+(E93-D93)*Inputs!$C$33))</f>
        <v>10.865</v>
      </c>
      <c r="R93" s="13" t="n">
        <f aca="false">ROUND(P93*Inputs!$C$31,0)</f>
        <v>2</v>
      </c>
      <c r="S93" s="13" t="n">
        <f aca="false">ROUND(Q93*Inputs!$C$31,0)</f>
        <v>3</v>
      </c>
      <c r="T93" s="14" t="n">
        <f aca="false">J93+L93+I93*Inputs!$C$28*0.5</f>
        <v>5.5425</v>
      </c>
      <c r="U93" s="14" t="n">
        <f aca="false">K93+M93+I93*Inputs!$C$28*0.5</f>
        <v>5.9175</v>
      </c>
      <c r="V93" s="14" t="n">
        <f aca="false">T93*Inputs!$C$36</f>
        <v>3.87975</v>
      </c>
      <c r="W93" s="14" t="n">
        <f aca="false">U93*Inputs!$C$36</f>
        <v>4.14225</v>
      </c>
      <c r="X93" s="14" t="n">
        <f aca="false">V93*Inputs!$C$37</f>
        <v>2.5218375</v>
      </c>
      <c r="Y93" s="14" t="n">
        <f aca="false">W93*Inputs!$C$37</f>
        <v>2.6924625</v>
      </c>
      <c r="Z93" s="14" t="n">
        <f aca="false">R93*Inputs!$C$38</f>
        <v>1.5</v>
      </c>
      <c r="AA93" s="14" t="n">
        <f aca="false">S93*Inputs!$C$38</f>
        <v>2.25</v>
      </c>
      <c r="AB93" s="13" t="n">
        <f aca="false">ROUND(R93*5+Z93*2+X93*3,0)</f>
        <v>21</v>
      </c>
      <c r="AC93" s="13" t="n">
        <f aca="false">ROUND(S93*5+AA93*2+Y93*3,0)</f>
        <v>28</v>
      </c>
      <c r="AD93" s="13" t="n">
        <f aca="true">IF(RAND()&lt;Inputs!$C$41,1,0)+IF(RAND()&lt;Inputs!$C$41,1,0)</f>
        <v>0</v>
      </c>
      <c r="AE93" s="13" t="n">
        <f aca="true">IF(RAND()&lt;Inputs!$C$42,1,0)+IF(RAND()&lt;Inputs!$C$42,1,0)</f>
        <v>0</v>
      </c>
      <c r="AF93" s="13" t="n">
        <f aca="false">AB93+AC93</f>
        <v>49</v>
      </c>
      <c r="AG93" s="13" t="n">
        <f aca="false">ABS(AB93-AC93)</f>
        <v>7</v>
      </c>
      <c r="AH93" s="13" t="n">
        <f aca="false">R93+S93</f>
        <v>5</v>
      </c>
      <c r="AI93" s="14" t="n">
        <f aca="false">V93+W93</f>
        <v>8.022</v>
      </c>
      <c r="AJ93" s="14" t="n">
        <f aca="false">X93+Y93</f>
        <v>5.2143</v>
      </c>
      <c r="AK93" s="13" t="n">
        <f aca="false">IF(AB93=AC93,1,0)</f>
        <v>0</v>
      </c>
    </row>
    <row r="94" customFormat="false" ht="15" hidden="false" customHeight="false" outlineLevel="0" collapsed="false">
      <c r="A94" s="12" t="n">
        <v>91</v>
      </c>
      <c r="B94" s="13" t="n">
        <f aca="true">ROUND(MAX(30,MIN(95,Inputs!$C$11+(RAND()+RAND()+RAND()-1.5)*Inputs!$C$12*2)),0)</f>
        <v>32</v>
      </c>
      <c r="C94" s="13" t="n">
        <f aca="true">ROUND(MAX(30,MIN(95,Inputs!$C$11+(RAND()+RAND()+RAND()-1.5)*Inputs!$C$12*2)),0)</f>
        <v>55</v>
      </c>
      <c r="D94" s="13" t="n">
        <f aca="true">ROUND(MAX(30,MIN(95,Inputs!$C$13+(RAND()+RAND()+RAND()-1.5)*Inputs!$C$14*2)),0)</f>
        <v>77</v>
      </c>
      <c r="E94" s="13" t="n">
        <f aca="true">ROUND(MAX(30,MIN(95,Inputs!$C$13+(RAND()+RAND()+RAND()-1.5)*Inputs!$C$14*2)),0)</f>
        <v>70</v>
      </c>
      <c r="F94" s="13" t="n">
        <f aca="false">RANDBETWEEN(Inputs!$C$5,Inputs!$C$6)</f>
        <v>76</v>
      </c>
      <c r="G94" s="13" t="n">
        <f aca="false">ROUND(F94*Inputs!$C$7*Inputs!$C$8,0)</f>
        <v>6</v>
      </c>
      <c r="H94" s="13" t="n">
        <f aca="false">ROUND(F94*Inputs!$C$7*(1-Inputs!$C$8),0)</f>
        <v>13</v>
      </c>
      <c r="I94" s="13" t="n">
        <f aca="false">F94-G94-H94</f>
        <v>57</v>
      </c>
      <c r="J94" s="14" t="n">
        <f aca="false">(G94/2)*MAX(0,MIN(1,Inputs!$C$19+(B94-C94)*Inputs!$C$20))</f>
        <v>0.093</v>
      </c>
      <c r="K94" s="14" t="n">
        <f aca="false">(G94/2)*MAX(0,MIN(1,Inputs!$C$19+(C94-B94)*Inputs!$C$20))</f>
        <v>0.507</v>
      </c>
      <c r="L94" s="14" t="n">
        <f aca="false">(H94/2)*MAX(0,1-MIN(1,Inputs!$C$23+(C94-B94)*Inputs!$C$24))*0.5</f>
        <v>0.16575</v>
      </c>
      <c r="M94" s="14" t="n">
        <f aca="false">(H94/2)*MAX(0,1-MIN(1,Inputs!$C$23+(B94-C94)*Inputs!$C$24))*0.5</f>
        <v>0.61425</v>
      </c>
      <c r="N94" s="13" t="n">
        <f aca="false">ROUND(F94*(0.5+(B94-C94)*0.005),0)</f>
        <v>29</v>
      </c>
      <c r="O94" s="13" t="n">
        <f aca="false">F94-N94</f>
        <v>47</v>
      </c>
      <c r="P94" s="14" t="n">
        <f aca="false">N94*MAX(0,MIN(1,Inputs!$C$32+(D94-E94)*Inputs!$C$33))</f>
        <v>7.859</v>
      </c>
      <c r="Q94" s="14" t="n">
        <f aca="false">O94*MAX(0,MIN(1,Inputs!$C$32+(E94-D94)*Inputs!$C$33))</f>
        <v>10.763</v>
      </c>
      <c r="R94" s="13" t="n">
        <f aca="false">ROUND(P94*Inputs!$C$31,0)</f>
        <v>2</v>
      </c>
      <c r="S94" s="13" t="n">
        <f aca="false">ROUND(Q94*Inputs!$C$31,0)</f>
        <v>3</v>
      </c>
      <c r="T94" s="14" t="n">
        <f aca="false">J94+L94+I94*Inputs!$C$28*0.5</f>
        <v>5.38875</v>
      </c>
      <c r="U94" s="14" t="n">
        <f aca="false">K94+M94+I94*Inputs!$C$28*0.5</f>
        <v>6.25125</v>
      </c>
      <c r="V94" s="14" t="n">
        <f aca="false">T94*Inputs!$C$36</f>
        <v>3.772125</v>
      </c>
      <c r="W94" s="14" t="n">
        <f aca="false">U94*Inputs!$C$36</f>
        <v>4.375875</v>
      </c>
      <c r="X94" s="14" t="n">
        <f aca="false">V94*Inputs!$C$37</f>
        <v>2.45188125</v>
      </c>
      <c r="Y94" s="14" t="n">
        <f aca="false">W94*Inputs!$C$37</f>
        <v>2.84431875</v>
      </c>
      <c r="Z94" s="14" t="n">
        <f aca="false">R94*Inputs!$C$38</f>
        <v>1.5</v>
      </c>
      <c r="AA94" s="14" t="n">
        <f aca="false">S94*Inputs!$C$38</f>
        <v>2.25</v>
      </c>
      <c r="AB94" s="13" t="n">
        <f aca="false">ROUND(R94*5+Z94*2+X94*3,0)</f>
        <v>20</v>
      </c>
      <c r="AC94" s="13" t="n">
        <f aca="false">ROUND(S94*5+AA94*2+Y94*3,0)</f>
        <v>28</v>
      </c>
      <c r="AD94" s="13" t="n">
        <f aca="true">IF(RAND()&lt;Inputs!$C$41,1,0)+IF(RAND()&lt;Inputs!$C$41,1,0)</f>
        <v>1</v>
      </c>
      <c r="AE94" s="13" t="n">
        <f aca="true">IF(RAND()&lt;Inputs!$C$42,1,0)+IF(RAND()&lt;Inputs!$C$42,1,0)</f>
        <v>0</v>
      </c>
      <c r="AF94" s="13" t="n">
        <f aca="false">AB94+AC94</f>
        <v>48</v>
      </c>
      <c r="AG94" s="13" t="n">
        <f aca="false">ABS(AB94-AC94)</f>
        <v>8</v>
      </c>
      <c r="AH94" s="13" t="n">
        <f aca="false">R94+S94</f>
        <v>5</v>
      </c>
      <c r="AI94" s="14" t="n">
        <f aca="false">V94+W94</f>
        <v>8.148</v>
      </c>
      <c r="AJ94" s="14" t="n">
        <f aca="false">X94+Y94</f>
        <v>5.2962</v>
      </c>
      <c r="AK94" s="13" t="n">
        <f aca="false">IF(AB94=AC94,1,0)</f>
        <v>0</v>
      </c>
    </row>
    <row r="95" customFormat="false" ht="15" hidden="false" customHeight="false" outlineLevel="0" collapsed="false">
      <c r="A95" s="12" t="n">
        <v>92</v>
      </c>
      <c r="B95" s="13" t="n">
        <f aca="true">ROUND(MAX(30,MIN(95,Inputs!$C$11+(RAND()+RAND()+RAND()-1.5)*Inputs!$C$12*2)),0)</f>
        <v>52</v>
      </c>
      <c r="C95" s="13" t="n">
        <f aca="true">ROUND(MAX(30,MIN(95,Inputs!$C$11+(RAND()+RAND()+RAND()-1.5)*Inputs!$C$12*2)),0)</f>
        <v>64</v>
      </c>
      <c r="D95" s="13" t="n">
        <f aca="true">ROUND(MAX(30,MIN(95,Inputs!$C$13+(RAND()+RAND()+RAND()-1.5)*Inputs!$C$14*2)),0)</f>
        <v>80</v>
      </c>
      <c r="E95" s="13" t="n">
        <f aca="true">ROUND(MAX(30,MIN(95,Inputs!$C$13+(RAND()+RAND()+RAND()-1.5)*Inputs!$C$14*2)),0)</f>
        <v>83</v>
      </c>
      <c r="F95" s="13" t="n">
        <f aca="false">RANDBETWEEN(Inputs!$C$5,Inputs!$C$6)</f>
        <v>70</v>
      </c>
      <c r="G95" s="13" t="n">
        <f aca="false">ROUND(F95*Inputs!$C$7*Inputs!$C$8,0)</f>
        <v>5</v>
      </c>
      <c r="H95" s="13" t="n">
        <f aca="false">ROUND(F95*Inputs!$C$7*(1-Inputs!$C$8),0)</f>
        <v>12</v>
      </c>
      <c r="I95" s="13" t="n">
        <f aca="false">F95-G95-H95</f>
        <v>53</v>
      </c>
      <c r="J95" s="14" t="n">
        <f aca="false">(G95/2)*MAX(0,MIN(1,Inputs!$C$19+(B95-C95)*Inputs!$C$20))</f>
        <v>0.16</v>
      </c>
      <c r="K95" s="14" t="n">
        <f aca="false">(G95/2)*MAX(0,MIN(1,Inputs!$C$19+(C95-B95)*Inputs!$C$20))</f>
        <v>0.34</v>
      </c>
      <c r="L95" s="14" t="n">
        <f aca="false">(H95/2)*MAX(0,1-MIN(1,Inputs!$C$23+(C95-B95)*Inputs!$C$24))*0.5</f>
        <v>0.252</v>
      </c>
      <c r="M95" s="14" t="n">
        <f aca="false">(H95/2)*MAX(0,1-MIN(1,Inputs!$C$23+(B95-C95)*Inputs!$C$24))*0.5</f>
        <v>0.468</v>
      </c>
      <c r="N95" s="13" t="n">
        <f aca="false">ROUND(F95*(0.5+(B95-C95)*0.005),0)</f>
        <v>31</v>
      </c>
      <c r="O95" s="13" t="n">
        <f aca="false">F95-N95</f>
        <v>39</v>
      </c>
      <c r="P95" s="14" t="n">
        <f aca="false">N95*MAX(0,MIN(1,Inputs!$C$32+(D95-E95)*Inputs!$C$33))</f>
        <v>7.471</v>
      </c>
      <c r="Q95" s="14" t="n">
        <f aca="false">O95*MAX(0,MIN(1,Inputs!$C$32+(E95-D95)*Inputs!$C$33))</f>
        <v>10.101</v>
      </c>
      <c r="R95" s="13" t="n">
        <f aca="false">ROUND(P95*Inputs!$C$31,0)</f>
        <v>2</v>
      </c>
      <c r="S95" s="13" t="n">
        <f aca="false">ROUND(Q95*Inputs!$C$31,0)</f>
        <v>3</v>
      </c>
      <c r="T95" s="14" t="n">
        <f aca="false">J95+L95+I95*Inputs!$C$28*0.5</f>
        <v>5.182</v>
      </c>
      <c r="U95" s="14" t="n">
        <f aca="false">K95+M95+I95*Inputs!$C$28*0.5</f>
        <v>5.578</v>
      </c>
      <c r="V95" s="14" t="n">
        <f aca="false">T95*Inputs!$C$36</f>
        <v>3.6274</v>
      </c>
      <c r="W95" s="14" t="n">
        <f aca="false">U95*Inputs!$C$36</f>
        <v>3.9046</v>
      </c>
      <c r="X95" s="14" t="n">
        <f aca="false">V95*Inputs!$C$37</f>
        <v>2.35781</v>
      </c>
      <c r="Y95" s="14" t="n">
        <f aca="false">W95*Inputs!$C$37</f>
        <v>2.53799</v>
      </c>
      <c r="Z95" s="14" t="n">
        <f aca="false">R95*Inputs!$C$38</f>
        <v>1.5</v>
      </c>
      <c r="AA95" s="14" t="n">
        <f aca="false">S95*Inputs!$C$38</f>
        <v>2.25</v>
      </c>
      <c r="AB95" s="13" t="n">
        <f aca="false">ROUND(R95*5+Z95*2+X95*3,0)</f>
        <v>20</v>
      </c>
      <c r="AC95" s="13" t="n">
        <f aca="false">ROUND(S95*5+AA95*2+Y95*3,0)</f>
        <v>27</v>
      </c>
      <c r="AD95" s="13" t="n">
        <f aca="true">IF(RAND()&lt;Inputs!$C$41,1,0)+IF(RAND()&lt;Inputs!$C$41,1,0)</f>
        <v>2</v>
      </c>
      <c r="AE95" s="13" t="n">
        <f aca="true">IF(RAND()&lt;Inputs!$C$42,1,0)+IF(RAND()&lt;Inputs!$C$42,1,0)</f>
        <v>0</v>
      </c>
      <c r="AF95" s="13" t="n">
        <f aca="false">AB95+AC95</f>
        <v>47</v>
      </c>
      <c r="AG95" s="13" t="n">
        <f aca="false">ABS(AB95-AC95)</f>
        <v>7</v>
      </c>
      <c r="AH95" s="13" t="n">
        <f aca="false">R95+S95</f>
        <v>5</v>
      </c>
      <c r="AI95" s="14" t="n">
        <f aca="false">V95+W95</f>
        <v>7.532</v>
      </c>
      <c r="AJ95" s="14" t="n">
        <f aca="false">X95+Y95</f>
        <v>4.8958</v>
      </c>
      <c r="AK95" s="13" t="n">
        <f aca="false">IF(AB95=AC95,1,0)</f>
        <v>0</v>
      </c>
    </row>
    <row r="96" customFormat="false" ht="15" hidden="false" customHeight="false" outlineLevel="0" collapsed="false">
      <c r="A96" s="12" t="n">
        <v>93</v>
      </c>
      <c r="B96" s="13" t="n">
        <f aca="true">ROUND(MAX(30,MIN(95,Inputs!$C$11+(RAND()+RAND()+RAND()-1.5)*Inputs!$C$12*2)),0)</f>
        <v>73</v>
      </c>
      <c r="C96" s="13" t="n">
        <f aca="true">ROUND(MAX(30,MIN(95,Inputs!$C$11+(RAND()+RAND()+RAND()-1.5)*Inputs!$C$12*2)),0)</f>
        <v>53</v>
      </c>
      <c r="D96" s="13" t="n">
        <f aca="true">ROUND(MAX(30,MIN(95,Inputs!$C$13+(RAND()+RAND()+RAND()-1.5)*Inputs!$C$14*2)),0)</f>
        <v>95</v>
      </c>
      <c r="E96" s="13" t="n">
        <f aca="true">ROUND(MAX(30,MIN(95,Inputs!$C$13+(RAND()+RAND()+RAND()-1.5)*Inputs!$C$14*2)),0)</f>
        <v>74</v>
      </c>
      <c r="F96" s="13" t="n">
        <f aca="false">RANDBETWEEN(Inputs!$C$5,Inputs!$C$6)</f>
        <v>71</v>
      </c>
      <c r="G96" s="13" t="n">
        <f aca="false">ROUND(F96*Inputs!$C$7*Inputs!$C$8,0)</f>
        <v>5</v>
      </c>
      <c r="H96" s="13" t="n">
        <f aca="false">ROUND(F96*Inputs!$C$7*(1-Inputs!$C$8),0)</f>
        <v>12</v>
      </c>
      <c r="I96" s="13" t="n">
        <f aca="false">F96-G96-H96</f>
        <v>54</v>
      </c>
      <c r="J96" s="14" t="n">
        <f aca="false">(G96/2)*MAX(0,MIN(1,Inputs!$C$19+(B96-C96)*Inputs!$C$20))</f>
        <v>0.4</v>
      </c>
      <c r="K96" s="14" t="n">
        <f aca="false">(G96/2)*MAX(0,MIN(1,Inputs!$C$19+(C96-B96)*Inputs!$C$20))</f>
        <v>0.1</v>
      </c>
      <c r="L96" s="14" t="n">
        <f aca="false">(H96/2)*MAX(0,1-MIN(1,Inputs!$C$23+(C96-B96)*Inputs!$C$24))*0.5</f>
        <v>0.54</v>
      </c>
      <c r="M96" s="14" t="n">
        <f aca="false">(H96/2)*MAX(0,1-MIN(1,Inputs!$C$23+(B96-C96)*Inputs!$C$24))*0.5</f>
        <v>0.18</v>
      </c>
      <c r="N96" s="13" t="n">
        <f aca="false">ROUND(F96*(0.5+(B96-C96)*0.005),0)</f>
        <v>43</v>
      </c>
      <c r="O96" s="13" t="n">
        <f aca="false">F96-N96</f>
        <v>28</v>
      </c>
      <c r="P96" s="14" t="n">
        <f aca="false">N96*MAX(0,MIN(1,Inputs!$C$32+(D96-E96)*Inputs!$C$33))</f>
        <v>13.459</v>
      </c>
      <c r="Q96" s="14" t="n">
        <f aca="false">O96*MAX(0,MIN(1,Inputs!$C$32+(E96-D96)*Inputs!$C$33))</f>
        <v>5.236</v>
      </c>
      <c r="R96" s="13" t="n">
        <f aca="false">ROUND(P96*Inputs!$C$31,0)</f>
        <v>4</v>
      </c>
      <c r="S96" s="13" t="n">
        <f aca="false">ROUND(Q96*Inputs!$C$31,0)</f>
        <v>2</v>
      </c>
      <c r="T96" s="14" t="n">
        <f aca="false">J96+L96+I96*Inputs!$C$28*0.5</f>
        <v>5.8</v>
      </c>
      <c r="U96" s="14" t="n">
        <f aca="false">K96+M96+I96*Inputs!$C$28*0.5</f>
        <v>5.14</v>
      </c>
      <c r="V96" s="14" t="n">
        <f aca="false">T96*Inputs!$C$36</f>
        <v>4.06</v>
      </c>
      <c r="W96" s="14" t="n">
        <f aca="false">U96*Inputs!$C$36</f>
        <v>3.598</v>
      </c>
      <c r="X96" s="14" t="n">
        <f aca="false">V96*Inputs!$C$37</f>
        <v>2.639</v>
      </c>
      <c r="Y96" s="14" t="n">
        <f aca="false">W96*Inputs!$C$37</f>
        <v>2.3387</v>
      </c>
      <c r="Z96" s="14" t="n">
        <f aca="false">R96*Inputs!$C$38</f>
        <v>3</v>
      </c>
      <c r="AA96" s="14" t="n">
        <f aca="false">S96*Inputs!$C$38</f>
        <v>1.5</v>
      </c>
      <c r="AB96" s="13" t="n">
        <f aca="false">ROUND(R96*5+Z96*2+X96*3,0)</f>
        <v>34</v>
      </c>
      <c r="AC96" s="13" t="n">
        <f aca="false">ROUND(S96*5+AA96*2+Y96*3,0)</f>
        <v>20</v>
      </c>
      <c r="AD96" s="13" t="n">
        <f aca="true">IF(RAND()&lt;Inputs!$C$41,1,0)+IF(RAND()&lt;Inputs!$C$41,1,0)</f>
        <v>0</v>
      </c>
      <c r="AE96" s="13" t="n">
        <f aca="true">IF(RAND()&lt;Inputs!$C$42,1,0)+IF(RAND()&lt;Inputs!$C$42,1,0)</f>
        <v>0</v>
      </c>
      <c r="AF96" s="13" t="n">
        <f aca="false">AB96+AC96</f>
        <v>54</v>
      </c>
      <c r="AG96" s="13" t="n">
        <f aca="false">ABS(AB96-AC96)</f>
        <v>14</v>
      </c>
      <c r="AH96" s="13" t="n">
        <f aca="false">R96+S96</f>
        <v>6</v>
      </c>
      <c r="AI96" s="14" t="n">
        <f aca="false">V96+W96</f>
        <v>7.658</v>
      </c>
      <c r="AJ96" s="14" t="n">
        <f aca="false">X96+Y96</f>
        <v>4.9777</v>
      </c>
      <c r="AK96" s="13" t="n">
        <f aca="false">IF(AB96=AC96,1,0)</f>
        <v>0</v>
      </c>
    </row>
    <row r="97" customFormat="false" ht="15" hidden="false" customHeight="false" outlineLevel="0" collapsed="false">
      <c r="A97" s="12" t="n">
        <v>94</v>
      </c>
      <c r="B97" s="13" t="n">
        <f aca="true">ROUND(MAX(30,MIN(95,Inputs!$C$11+(RAND()+RAND()+RAND()-1.5)*Inputs!$C$12*2)),0)</f>
        <v>64</v>
      </c>
      <c r="C97" s="13" t="n">
        <f aca="true">ROUND(MAX(30,MIN(95,Inputs!$C$11+(RAND()+RAND()+RAND()-1.5)*Inputs!$C$12*2)),0)</f>
        <v>50</v>
      </c>
      <c r="D97" s="13" t="n">
        <f aca="true">ROUND(MAX(30,MIN(95,Inputs!$C$13+(RAND()+RAND()+RAND()-1.5)*Inputs!$C$14*2)),0)</f>
        <v>64</v>
      </c>
      <c r="E97" s="13" t="n">
        <f aca="true">ROUND(MAX(30,MIN(95,Inputs!$C$13+(RAND()+RAND()+RAND()-1.5)*Inputs!$C$14*2)),0)</f>
        <v>64</v>
      </c>
      <c r="F97" s="13" t="n">
        <f aca="false">RANDBETWEEN(Inputs!$C$5,Inputs!$C$6)</f>
        <v>72</v>
      </c>
      <c r="G97" s="13" t="n">
        <f aca="false">ROUND(F97*Inputs!$C$7*Inputs!$C$8,0)</f>
        <v>5</v>
      </c>
      <c r="H97" s="13" t="n">
        <f aca="false">ROUND(F97*Inputs!$C$7*(1-Inputs!$C$8),0)</f>
        <v>13</v>
      </c>
      <c r="I97" s="13" t="n">
        <f aca="false">F97-G97-H97</f>
        <v>54</v>
      </c>
      <c r="J97" s="14" t="n">
        <f aca="false">(G97/2)*MAX(0,MIN(1,Inputs!$C$19+(B97-C97)*Inputs!$C$20))</f>
        <v>0.355</v>
      </c>
      <c r="K97" s="14" t="n">
        <f aca="false">(G97/2)*MAX(0,MIN(1,Inputs!$C$19+(C97-B97)*Inputs!$C$20))</f>
        <v>0.145</v>
      </c>
      <c r="L97" s="14" t="n">
        <f aca="false">(H97/2)*MAX(0,1-MIN(1,Inputs!$C$23+(C97-B97)*Inputs!$C$24))*0.5</f>
        <v>0.5265</v>
      </c>
      <c r="M97" s="14" t="n">
        <f aca="false">(H97/2)*MAX(0,1-MIN(1,Inputs!$C$23+(B97-C97)*Inputs!$C$24))*0.5</f>
        <v>0.2535</v>
      </c>
      <c r="N97" s="13" t="n">
        <f aca="false">ROUND(F97*(0.5+(B97-C97)*0.005),0)</f>
        <v>41</v>
      </c>
      <c r="O97" s="13" t="n">
        <f aca="false">F97-N97</f>
        <v>31</v>
      </c>
      <c r="P97" s="14" t="n">
        <f aca="false">N97*MAX(0,MIN(1,Inputs!$C$32+(D97-E97)*Inputs!$C$33))</f>
        <v>10.25</v>
      </c>
      <c r="Q97" s="14" t="n">
        <f aca="false">O97*MAX(0,MIN(1,Inputs!$C$32+(E97-D97)*Inputs!$C$33))</f>
        <v>7.75</v>
      </c>
      <c r="R97" s="13" t="n">
        <f aca="false">ROUND(P97*Inputs!$C$31,0)</f>
        <v>3</v>
      </c>
      <c r="S97" s="13" t="n">
        <f aca="false">ROUND(Q97*Inputs!$C$31,0)</f>
        <v>2</v>
      </c>
      <c r="T97" s="14" t="n">
        <f aca="false">J97+L97+I97*Inputs!$C$28*0.5</f>
        <v>5.7415</v>
      </c>
      <c r="U97" s="14" t="n">
        <f aca="false">K97+M97+I97*Inputs!$C$28*0.5</f>
        <v>5.2585</v>
      </c>
      <c r="V97" s="14" t="n">
        <f aca="false">T97*Inputs!$C$36</f>
        <v>4.01905</v>
      </c>
      <c r="W97" s="14" t="n">
        <f aca="false">U97*Inputs!$C$36</f>
        <v>3.68095</v>
      </c>
      <c r="X97" s="14" t="n">
        <f aca="false">V97*Inputs!$C$37</f>
        <v>2.6123825</v>
      </c>
      <c r="Y97" s="14" t="n">
        <f aca="false">W97*Inputs!$C$37</f>
        <v>2.3926175</v>
      </c>
      <c r="Z97" s="14" t="n">
        <f aca="false">R97*Inputs!$C$38</f>
        <v>2.25</v>
      </c>
      <c r="AA97" s="14" t="n">
        <f aca="false">S97*Inputs!$C$38</f>
        <v>1.5</v>
      </c>
      <c r="AB97" s="13" t="n">
        <f aca="false">ROUND(R97*5+Z97*2+X97*3,0)</f>
        <v>27</v>
      </c>
      <c r="AC97" s="13" t="n">
        <f aca="false">ROUND(S97*5+AA97*2+Y97*3,0)</f>
        <v>20</v>
      </c>
      <c r="AD97" s="13" t="n">
        <f aca="true">IF(RAND()&lt;Inputs!$C$41,1,0)+IF(RAND()&lt;Inputs!$C$41,1,0)</f>
        <v>0</v>
      </c>
      <c r="AE97" s="13" t="n">
        <f aca="true">IF(RAND()&lt;Inputs!$C$42,1,0)+IF(RAND()&lt;Inputs!$C$42,1,0)</f>
        <v>0</v>
      </c>
      <c r="AF97" s="13" t="n">
        <f aca="false">AB97+AC97</f>
        <v>47</v>
      </c>
      <c r="AG97" s="13" t="n">
        <f aca="false">ABS(AB97-AC97)</f>
        <v>7</v>
      </c>
      <c r="AH97" s="13" t="n">
        <f aca="false">R97+S97</f>
        <v>5</v>
      </c>
      <c r="AI97" s="14" t="n">
        <f aca="false">V97+W97</f>
        <v>7.7</v>
      </c>
      <c r="AJ97" s="14" t="n">
        <f aca="false">X97+Y97</f>
        <v>5.005</v>
      </c>
      <c r="AK97" s="13" t="n">
        <f aca="false">IF(AB97=AC97,1,0)</f>
        <v>0</v>
      </c>
    </row>
    <row r="98" customFormat="false" ht="15" hidden="false" customHeight="false" outlineLevel="0" collapsed="false">
      <c r="A98" s="12" t="n">
        <v>95</v>
      </c>
      <c r="B98" s="13" t="n">
        <f aca="true">ROUND(MAX(30,MIN(95,Inputs!$C$11+(RAND()+RAND()+RAND()-1.5)*Inputs!$C$12*2)),0)</f>
        <v>43</v>
      </c>
      <c r="C98" s="13" t="n">
        <f aca="true">ROUND(MAX(30,MIN(95,Inputs!$C$11+(RAND()+RAND()+RAND()-1.5)*Inputs!$C$12*2)),0)</f>
        <v>49</v>
      </c>
      <c r="D98" s="13" t="n">
        <f aca="true">ROUND(MAX(30,MIN(95,Inputs!$C$13+(RAND()+RAND()+RAND()-1.5)*Inputs!$C$14*2)),0)</f>
        <v>92</v>
      </c>
      <c r="E98" s="13" t="n">
        <f aca="true">ROUND(MAX(30,MIN(95,Inputs!$C$13+(RAND()+RAND()+RAND()-1.5)*Inputs!$C$14*2)),0)</f>
        <v>65</v>
      </c>
      <c r="F98" s="13" t="n">
        <f aca="false">RANDBETWEEN(Inputs!$C$5,Inputs!$C$6)</f>
        <v>79</v>
      </c>
      <c r="G98" s="13" t="n">
        <f aca="false">ROUND(F98*Inputs!$C$7*Inputs!$C$8,0)</f>
        <v>6</v>
      </c>
      <c r="H98" s="13" t="n">
        <f aca="false">ROUND(F98*Inputs!$C$7*(1-Inputs!$C$8),0)</f>
        <v>14</v>
      </c>
      <c r="I98" s="13" t="n">
        <f aca="false">F98-G98-H98</f>
        <v>59</v>
      </c>
      <c r="J98" s="14" t="n">
        <f aca="false">(G98/2)*MAX(0,MIN(1,Inputs!$C$19+(B98-C98)*Inputs!$C$20))</f>
        <v>0.246</v>
      </c>
      <c r="K98" s="14" t="n">
        <f aca="false">(G98/2)*MAX(0,MIN(1,Inputs!$C$19+(C98-B98)*Inputs!$C$20))</f>
        <v>0.354</v>
      </c>
      <c r="L98" s="14" t="n">
        <f aca="false">(H98/2)*MAX(0,1-MIN(1,Inputs!$C$23+(C98-B98)*Inputs!$C$24))*0.5</f>
        <v>0.357</v>
      </c>
      <c r="M98" s="14" t="n">
        <f aca="false">(H98/2)*MAX(0,1-MIN(1,Inputs!$C$23+(B98-C98)*Inputs!$C$24))*0.5</f>
        <v>0.483</v>
      </c>
      <c r="N98" s="13" t="n">
        <f aca="false">ROUND(F98*(0.5+(B98-C98)*0.005),0)</f>
        <v>37</v>
      </c>
      <c r="O98" s="13" t="n">
        <f aca="false">F98-N98</f>
        <v>42</v>
      </c>
      <c r="P98" s="14" t="n">
        <f aca="false">N98*MAX(0,MIN(1,Inputs!$C$32+(D98-E98)*Inputs!$C$33))</f>
        <v>12.247</v>
      </c>
      <c r="Q98" s="14" t="n">
        <f aca="false">O98*MAX(0,MIN(1,Inputs!$C$32+(E98-D98)*Inputs!$C$33))</f>
        <v>7.098</v>
      </c>
      <c r="R98" s="13" t="n">
        <f aca="false">ROUND(P98*Inputs!$C$31,0)</f>
        <v>4</v>
      </c>
      <c r="S98" s="13" t="n">
        <f aca="false">ROUND(Q98*Inputs!$C$31,0)</f>
        <v>2</v>
      </c>
      <c r="T98" s="14" t="n">
        <f aca="false">J98+L98+I98*Inputs!$C$28*0.5</f>
        <v>5.913</v>
      </c>
      <c r="U98" s="14" t="n">
        <f aca="false">K98+M98+I98*Inputs!$C$28*0.5</f>
        <v>6.147</v>
      </c>
      <c r="V98" s="14" t="n">
        <f aca="false">T98*Inputs!$C$36</f>
        <v>4.1391</v>
      </c>
      <c r="W98" s="14" t="n">
        <f aca="false">U98*Inputs!$C$36</f>
        <v>4.3029</v>
      </c>
      <c r="X98" s="14" t="n">
        <f aca="false">V98*Inputs!$C$37</f>
        <v>2.690415</v>
      </c>
      <c r="Y98" s="14" t="n">
        <f aca="false">W98*Inputs!$C$37</f>
        <v>2.796885</v>
      </c>
      <c r="Z98" s="14" t="n">
        <f aca="false">R98*Inputs!$C$38</f>
        <v>3</v>
      </c>
      <c r="AA98" s="14" t="n">
        <f aca="false">S98*Inputs!$C$38</f>
        <v>1.5</v>
      </c>
      <c r="AB98" s="13" t="n">
        <f aca="false">ROUND(R98*5+Z98*2+X98*3,0)</f>
        <v>34</v>
      </c>
      <c r="AC98" s="13" t="n">
        <f aca="false">ROUND(S98*5+AA98*2+Y98*3,0)</f>
        <v>21</v>
      </c>
      <c r="AD98" s="13" t="n">
        <f aca="true">IF(RAND()&lt;Inputs!$C$41,1,0)+IF(RAND()&lt;Inputs!$C$41,1,0)</f>
        <v>2</v>
      </c>
      <c r="AE98" s="13" t="n">
        <f aca="true">IF(RAND()&lt;Inputs!$C$42,1,0)+IF(RAND()&lt;Inputs!$C$42,1,0)</f>
        <v>0</v>
      </c>
      <c r="AF98" s="13" t="n">
        <f aca="false">AB98+AC98</f>
        <v>55</v>
      </c>
      <c r="AG98" s="13" t="n">
        <f aca="false">ABS(AB98-AC98)</f>
        <v>13</v>
      </c>
      <c r="AH98" s="13" t="n">
        <f aca="false">R98+S98</f>
        <v>6</v>
      </c>
      <c r="AI98" s="14" t="n">
        <f aca="false">V98+W98</f>
        <v>8.442</v>
      </c>
      <c r="AJ98" s="14" t="n">
        <f aca="false">X98+Y98</f>
        <v>5.4873</v>
      </c>
      <c r="AK98" s="13" t="n">
        <f aca="false">IF(AB98=AC98,1,0)</f>
        <v>0</v>
      </c>
    </row>
    <row r="99" customFormat="false" ht="15" hidden="false" customHeight="false" outlineLevel="0" collapsed="false">
      <c r="A99" s="12" t="n">
        <v>96</v>
      </c>
      <c r="B99" s="13" t="n">
        <f aca="true">ROUND(MAX(30,MIN(95,Inputs!$C$11+(RAND()+RAND()+RAND()-1.5)*Inputs!$C$12*2)),0)</f>
        <v>48</v>
      </c>
      <c r="C99" s="13" t="n">
        <f aca="true">ROUND(MAX(30,MIN(95,Inputs!$C$11+(RAND()+RAND()+RAND()-1.5)*Inputs!$C$12*2)),0)</f>
        <v>75</v>
      </c>
      <c r="D99" s="13" t="n">
        <f aca="true">ROUND(MAX(30,MIN(95,Inputs!$C$13+(RAND()+RAND()+RAND()-1.5)*Inputs!$C$14*2)),0)</f>
        <v>66</v>
      </c>
      <c r="E99" s="13" t="n">
        <f aca="true">ROUND(MAX(30,MIN(95,Inputs!$C$13+(RAND()+RAND()+RAND()-1.5)*Inputs!$C$14*2)),0)</f>
        <v>76</v>
      </c>
      <c r="F99" s="13" t="n">
        <f aca="false">RANDBETWEEN(Inputs!$C$5,Inputs!$C$6)</f>
        <v>81</v>
      </c>
      <c r="G99" s="13" t="n">
        <f aca="false">ROUND(F99*Inputs!$C$7*Inputs!$C$8,0)</f>
        <v>6</v>
      </c>
      <c r="H99" s="13" t="n">
        <f aca="false">ROUND(F99*Inputs!$C$7*(1-Inputs!$C$8),0)</f>
        <v>14</v>
      </c>
      <c r="I99" s="13" t="n">
        <f aca="false">F99-G99-H99</f>
        <v>61</v>
      </c>
      <c r="J99" s="14" t="n">
        <f aca="false">(G99/2)*MAX(0,MIN(1,Inputs!$C$19+(B99-C99)*Inputs!$C$20))</f>
        <v>0.057</v>
      </c>
      <c r="K99" s="14" t="n">
        <f aca="false">(G99/2)*MAX(0,MIN(1,Inputs!$C$19+(C99-B99)*Inputs!$C$20))</f>
        <v>0.543</v>
      </c>
      <c r="L99" s="14" t="n">
        <f aca="false">(H99/2)*MAX(0,1-MIN(1,Inputs!$C$23+(C99-B99)*Inputs!$C$24))*0.5</f>
        <v>0.1365</v>
      </c>
      <c r="M99" s="14" t="n">
        <f aca="false">(H99/2)*MAX(0,1-MIN(1,Inputs!$C$23+(B99-C99)*Inputs!$C$24))*0.5</f>
        <v>0.7035</v>
      </c>
      <c r="N99" s="13" t="n">
        <f aca="false">ROUND(F99*(0.5+(B99-C99)*0.005),0)</f>
        <v>30</v>
      </c>
      <c r="O99" s="13" t="n">
        <f aca="false">F99-N99</f>
        <v>51</v>
      </c>
      <c r="P99" s="14" t="n">
        <f aca="false">N99*MAX(0,MIN(1,Inputs!$C$32+(D99-E99)*Inputs!$C$33))</f>
        <v>6.6</v>
      </c>
      <c r="Q99" s="14" t="n">
        <f aca="false">O99*MAX(0,MIN(1,Inputs!$C$32+(E99-D99)*Inputs!$C$33))</f>
        <v>14.28</v>
      </c>
      <c r="R99" s="13" t="n">
        <f aca="false">ROUND(P99*Inputs!$C$31,0)</f>
        <v>2</v>
      </c>
      <c r="S99" s="13" t="n">
        <f aca="false">ROUND(Q99*Inputs!$C$31,0)</f>
        <v>4</v>
      </c>
      <c r="T99" s="14" t="n">
        <f aca="false">J99+L99+I99*Inputs!$C$28*0.5</f>
        <v>5.6835</v>
      </c>
      <c r="U99" s="14" t="n">
        <f aca="false">K99+M99+I99*Inputs!$C$28*0.5</f>
        <v>6.7365</v>
      </c>
      <c r="V99" s="14" t="n">
        <f aca="false">T99*Inputs!$C$36</f>
        <v>3.97845</v>
      </c>
      <c r="W99" s="14" t="n">
        <f aca="false">U99*Inputs!$C$36</f>
        <v>4.71555</v>
      </c>
      <c r="X99" s="14" t="n">
        <f aca="false">V99*Inputs!$C$37</f>
        <v>2.5859925</v>
      </c>
      <c r="Y99" s="14" t="n">
        <f aca="false">W99*Inputs!$C$37</f>
        <v>3.0651075</v>
      </c>
      <c r="Z99" s="14" t="n">
        <f aca="false">R99*Inputs!$C$38</f>
        <v>1.5</v>
      </c>
      <c r="AA99" s="14" t="n">
        <f aca="false">S99*Inputs!$C$38</f>
        <v>3</v>
      </c>
      <c r="AB99" s="13" t="n">
        <f aca="false">ROUND(R99*5+Z99*2+X99*3,0)</f>
        <v>21</v>
      </c>
      <c r="AC99" s="13" t="n">
        <f aca="false">ROUND(S99*5+AA99*2+Y99*3,0)</f>
        <v>35</v>
      </c>
      <c r="AD99" s="13" t="n">
        <f aca="true">IF(RAND()&lt;Inputs!$C$41,1,0)+IF(RAND()&lt;Inputs!$C$41,1,0)</f>
        <v>1</v>
      </c>
      <c r="AE99" s="13" t="n">
        <f aca="true">IF(RAND()&lt;Inputs!$C$42,1,0)+IF(RAND()&lt;Inputs!$C$42,1,0)</f>
        <v>0</v>
      </c>
      <c r="AF99" s="13" t="n">
        <f aca="false">AB99+AC99</f>
        <v>56</v>
      </c>
      <c r="AG99" s="13" t="n">
        <f aca="false">ABS(AB99-AC99)</f>
        <v>14</v>
      </c>
      <c r="AH99" s="13" t="n">
        <f aca="false">R99+S99</f>
        <v>6</v>
      </c>
      <c r="AI99" s="14" t="n">
        <f aca="false">V99+W99</f>
        <v>8.694</v>
      </c>
      <c r="AJ99" s="14" t="n">
        <f aca="false">X99+Y99</f>
        <v>5.6511</v>
      </c>
      <c r="AK99" s="13" t="n">
        <f aca="false">IF(AB99=AC99,1,0)</f>
        <v>0</v>
      </c>
    </row>
    <row r="100" customFormat="false" ht="15" hidden="false" customHeight="false" outlineLevel="0" collapsed="false">
      <c r="A100" s="12" t="n">
        <v>97</v>
      </c>
      <c r="B100" s="13" t="n">
        <f aca="true">ROUND(MAX(30,MIN(95,Inputs!$C$11+(RAND()+RAND()+RAND()-1.5)*Inputs!$C$12*2)),0)</f>
        <v>62</v>
      </c>
      <c r="C100" s="13" t="n">
        <f aca="true">ROUND(MAX(30,MIN(95,Inputs!$C$11+(RAND()+RAND()+RAND()-1.5)*Inputs!$C$12*2)),0)</f>
        <v>80</v>
      </c>
      <c r="D100" s="13" t="n">
        <f aca="true">ROUND(MAX(30,MIN(95,Inputs!$C$13+(RAND()+RAND()+RAND()-1.5)*Inputs!$C$14*2)),0)</f>
        <v>46</v>
      </c>
      <c r="E100" s="13" t="n">
        <f aca="true">ROUND(MAX(30,MIN(95,Inputs!$C$13+(RAND()+RAND()+RAND()-1.5)*Inputs!$C$14*2)),0)</f>
        <v>55</v>
      </c>
      <c r="F100" s="13" t="n">
        <f aca="false">RANDBETWEEN(Inputs!$C$5,Inputs!$C$6)</f>
        <v>78</v>
      </c>
      <c r="G100" s="13" t="n">
        <f aca="false">ROUND(F100*Inputs!$C$7*Inputs!$C$8,0)</f>
        <v>6</v>
      </c>
      <c r="H100" s="13" t="n">
        <f aca="false">ROUND(F100*Inputs!$C$7*(1-Inputs!$C$8),0)</f>
        <v>14</v>
      </c>
      <c r="I100" s="13" t="n">
        <f aca="false">F100-G100-H100</f>
        <v>58</v>
      </c>
      <c r="J100" s="14" t="n">
        <f aca="false">(G100/2)*MAX(0,MIN(1,Inputs!$C$19+(B100-C100)*Inputs!$C$20))</f>
        <v>0.138</v>
      </c>
      <c r="K100" s="14" t="n">
        <f aca="false">(G100/2)*MAX(0,MIN(1,Inputs!$C$19+(C100-B100)*Inputs!$C$20))</f>
        <v>0.462</v>
      </c>
      <c r="L100" s="14" t="n">
        <f aca="false">(H100/2)*MAX(0,1-MIN(1,Inputs!$C$23+(C100-B100)*Inputs!$C$24))*0.5</f>
        <v>0.231</v>
      </c>
      <c r="M100" s="14" t="n">
        <f aca="false">(H100/2)*MAX(0,1-MIN(1,Inputs!$C$23+(B100-C100)*Inputs!$C$24))*0.5</f>
        <v>0.609</v>
      </c>
      <c r="N100" s="13" t="n">
        <f aca="false">ROUND(F100*(0.5+(B100-C100)*0.005),0)</f>
        <v>32</v>
      </c>
      <c r="O100" s="13" t="n">
        <f aca="false">F100-N100</f>
        <v>46</v>
      </c>
      <c r="P100" s="14" t="n">
        <f aca="false">N100*MAX(0,MIN(1,Inputs!$C$32+(D100-E100)*Inputs!$C$33))</f>
        <v>7.136</v>
      </c>
      <c r="Q100" s="14" t="n">
        <f aca="false">O100*MAX(0,MIN(1,Inputs!$C$32+(E100-D100)*Inputs!$C$33))</f>
        <v>12.742</v>
      </c>
      <c r="R100" s="13" t="n">
        <f aca="false">ROUND(P100*Inputs!$C$31,0)</f>
        <v>2</v>
      </c>
      <c r="S100" s="13" t="n">
        <f aca="false">ROUND(Q100*Inputs!$C$31,0)</f>
        <v>4</v>
      </c>
      <c r="T100" s="14" t="n">
        <f aca="false">J100+L100+I100*Inputs!$C$28*0.5</f>
        <v>5.589</v>
      </c>
      <c r="U100" s="14" t="n">
        <f aca="false">K100+M100+I100*Inputs!$C$28*0.5</f>
        <v>6.291</v>
      </c>
      <c r="V100" s="14" t="n">
        <f aca="false">T100*Inputs!$C$36</f>
        <v>3.9123</v>
      </c>
      <c r="W100" s="14" t="n">
        <f aca="false">U100*Inputs!$C$36</f>
        <v>4.4037</v>
      </c>
      <c r="X100" s="14" t="n">
        <f aca="false">V100*Inputs!$C$37</f>
        <v>2.542995</v>
      </c>
      <c r="Y100" s="14" t="n">
        <f aca="false">W100*Inputs!$C$37</f>
        <v>2.862405</v>
      </c>
      <c r="Z100" s="14" t="n">
        <f aca="false">R100*Inputs!$C$38</f>
        <v>1.5</v>
      </c>
      <c r="AA100" s="14" t="n">
        <f aca="false">S100*Inputs!$C$38</f>
        <v>3</v>
      </c>
      <c r="AB100" s="13" t="n">
        <f aca="false">ROUND(R100*5+Z100*2+X100*3,0)</f>
        <v>21</v>
      </c>
      <c r="AC100" s="13" t="n">
        <f aca="false">ROUND(S100*5+AA100*2+Y100*3,0)</f>
        <v>35</v>
      </c>
      <c r="AD100" s="13" t="n">
        <f aca="true">IF(RAND()&lt;Inputs!$C$41,1,0)+IF(RAND()&lt;Inputs!$C$41,1,0)</f>
        <v>0</v>
      </c>
      <c r="AE100" s="13" t="n">
        <f aca="true">IF(RAND()&lt;Inputs!$C$42,1,0)+IF(RAND()&lt;Inputs!$C$42,1,0)</f>
        <v>0</v>
      </c>
      <c r="AF100" s="13" t="n">
        <f aca="false">AB100+AC100</f>
        <v>56</v>
      </c>
      <c r="AG100" s="13" t="n">
        <f aca="false">ABS(AB100-AC100)</f>
        <v>14</v>
      </c>
      <c r="AH100" s="13" t="n">
        <f aca="false">R100+S100</f>
        <v>6</v>
      </c>
      <c r="AI100" s="14" t="n">
        <f aca="false">V100+W100</f>
        <v>8.316</v>
      </c>
      <c r="AJ100" s="14" t="n">
        <f aca="false">X100+Y100</f>
        <v>5.4054</v>
      </c>
      <c r="AK100" s="13" t="n">
        <f aca="false">IF(AB100=AC100,1,0)</f>
        <v>0</v>
      </c>
    </row>
    <row r="101" customFormat="false" ht="15" hidden="false" customHeight="false" outlineLevel="0" collapsed="false">
      <c r="A101" s="12" t="n">
        <v>98</v>
      </c>
      <c r="B101" s="13" t="n">
        <f aca="true">ROUND(MAX(30,MIN(95,Inputs!$C$11+(RAND()+RAND()+RAND()-1.5)*Inputs!$C$12*2)),0)</f>
        <v>60</v>
      </c>
      <c r="C101" s="13" t="n">
        <f aca="true">ROUND(MAX(30,MIN(95,Inputs!$C$11+(RAND()+RAND()+RAND()-1.5)*Inputs!$C$12*2)),0)</f>
        <v>62</v>
      </c>
      <c r="D101" s="13" t="n">
        <f aca="true">ROUND(MAX(30,MIN(95,Inputs!$C$13+(RAND()+RAND()+RAND()-1.5)*Inputs!$C$14*2)),0)</f>
        <v>72</v>
      </c>
      <c r="E101" s="13" t="n">
        <f aca="true">ROUND(MAX(30,MIN(95,Inputs!$C$13+(RAND()+RAND()+RAND()-1.5)*Inputs!$C$14*2)),0)</f>
        <v>46</v>
      </c>
      <c r="F101" s="13" t="n">
        <f aca="false">RANDBETWEEN(Inputs!$C$5,Inputs!$C$6)</f>
        <v>73</v>
      </c>
      <c r="G101" s="13" t="n">
        <f aca="false">ROUND(F101*Inputs!$C$7*Inputs!$C$8,0)</f>
        <v>5</v>
      </c>
      <c r="H101" s="13" t="n">
        <f aca="false">ROUND(F101*Inputs!$C$7*(1-Inputs!$C$8),0)</f>
        <v>13</v>
      </c>
      <c r="I101" s="13" t="n">
        <f aca="false">F101-G101-H101</f>
        <v>55</v>
      </c>
      <c r="J101" s="14" t="n">
        <f aca="false">(G101/2)*MAX(0,MIN(1,Inputs!$C$19+(B101-C101)*Inputs!$C$20))</f>
        <v>0.235</v>
      </c>
      <c r="K101" s="14" t="n">
        <f aca="false">(G101/2)*MAX(0,MIN(1,Inputs!$C$19+(C101-B101)*Inputs!$C$20))</f>
        <v>0.265</v>
      </c>
      <c r="L101" s="14" t="n">
        <f aca="false">(H101/2)*MAX(0,1-MIN(1,Inputs!$C$23+(C101-B101)*Inputs!$C$24))*0.5</f>
        <v>0.3705</v>
      </c>
      <c r="M101" s="14" t="n">
        <f aca="false">(H101/2)*MAX(0,1-MIN(1,Inputs!$C$23+(B101-C101)*Inputs!$C$24))*0.5</f>
        <v>0.4095</v>
      </c>
      <c r="N101" s="13" t="n">
        <f aca="false">ROUND(F101*(0.5+(B101-C101)*0.005),0)</f>
        <v>36</v>
      </c>
      <c r="O101" s="13" t="n">
        <f aca="false">F101-N101</f>
        <v>37</v>
      </c>
      <c r="P101" s="14" t="n">
        <f aca="false">N101*MAX(0,MIN(1,Inputs!$C$32+(D101-E101)*Inputs!$C$33))</f>
        <v>11.808</v>
      </c>
      <c r="Q101" s="14" t="n">
        <f aca="false">O101*MAX(0,MIN(1,Inputs!$C$32+(E101-D101)*Inputs!$C$33))</f>
        <v>6.364</v>
      </c>
      <c r="R101" s="13" t="n">
        <f aca="false">ROUND(P101*Inputs!$C$31,0)</f>
        <v>4</v>
      </c>
      <c r="S101" s="13" t="n">
        <f aca="false">ROUND(Q101*Inputs!$C$31,0)</f>
        <v>2</v>
      </c>
      <c r="T101" s="14" t="n">
        <f aca="false">J101+L101+I101*Inputs!$C$28*0.5</f>
        <v>5.5555</v>
      </c>
      <c r="U101" s="14" t="n">
        <f aca="false">K101+M101+I101*Inputs!$C$28*0.5</f>
        <v>5.6245</v>
      </c>
      <c r="V101" s="14" t="n">
        <f aca="false">T101*Inputs!$C$36</f>
        <v>3.88885</v>
      </c>
      <c r="W101" s="14" t="n">
        <f aca="false">U101*Inputs!$C$36</f>
        <v>3.93715</v>
      </c>
      <c r="X101" s="14" t="n">
        <f aca="false">V101*Inputs!$C$37</f>
        <v>2.5277525</v>
      </c>
      <c r="Y101" s="14" t="n">
        <f aca="false">W101*Inputs!$C$37</f>
        <v>2.5591475</v>
      </c>
      <c r="Z101" s="14" t="n">
        <f aca="false">R101*Inputs!$C$38</f>
        <v>3</v>
      </c>
      <c r="AA101" s="14" t="n">
        <f aca="false">S101*Inputs!$C$38</f>
        <v>1.5</v>
      </c>
      <c r="AB101" s="13" t="n">
        <f aca="false">ROUND(R101*5+Z101*2+X101*3,0)</f>
        <v>34</v>
      </c>
      <c r="AC101" s="13" t="n">
        <f aca="false">ROUND(S101*5+AA101*2+Y101*3,0)</f>
        <v>21</v>
      </c>
      <c r="AD101" s="13" t="n">
        <f aca="true">IF(RAND()&lt;Inputs!$C$41,1,0)+IF(RAND()&lt;Inputs!$C$41,1,0)</f>
        <v>1</v>
      </c>
      <c r="AE101" s="13" t="n">
        <f aca="true">IF(RAND()&lt;Inputs!$C$42,1,0)+IF(RAND()&lt;Inputs!$C$42,1,0)</f>
        <v>0</v>
      </c>
      <c r="AF101" s="13" t="n">
        <f aca="false">AB101+AC101</f>
        <v>55</v>
      </c>
      <c r="AG101" s="13" t="n">
        <f aca="false">ABS(AB101-AC101)</f>
        <v>13</v>
      </c>
      <c r="AH101" s="13" t="n">
        <f aca="false">R101+S101</f>
        <v>6</v>
      </c>
      <c r="AI101" s="14" t="n">
        <f aca="false">V101+W101</f>
        <v>7.826</v>
      </c>
      <c r="AJ101" s="14" t="n">
        <f aca="false">X101+Y101</f>
        <v>5.0869</v>
      </c>
      <c r="AK101" s="13" t="n">
        <f aca="false">IF(AB101=AC101,1,0)</f>
        <v>0</v>
      </c>
    </row>
    <row r="102" customFormat="false" ht="15" hidden="false" customHeight="false" outlineLevel="0" collapsed="false">
      <c r="A102" s="12" t="n">
        <v>99</v>
      </c>
      <c r="B102" s="13" t="n">
        <f aca="true">ROUND(MAX(30,MIN(95,Inputs!$C$11+(RAND()+RAND()+RAND()-1.5)*Inputs!$C$12*2)),0)</f>
        <v>93</v>
      </c>
      <c r="C102" s="13" t="n">
        <f aca="true">ROUND(MAX(30,MIN(95,Inputs!$C$11+(RAND()+RAND()+RAND()-1.5)*Inputs!$C$12*2)),0)</f>
        <v>57</v>
      </c>
      <c r="D102" s="13" t="n">
        <f aca="true">ROUND(MAX(30,MIN(95,Inputs!$C$13+(RAND()+RAND()+RAND()-1.5)*Inputs!$C$14*2)),0)</f>
        <v>46</v>
      </c>
      <c r="E102" s="13" t="n">
        <f aca="true">ROUND(MAX(30,MIN(95,Inputs!$C$13+(RAND()+RAND()+RAND()-1.5)*Inputs!$C$14*2)),0)</f>
        <v>76</v>
      </c>
      <c r="F102" s="13" t="n">
        <f aca="false">RANDBETWEEN(Inputs!$C$5,Inputs!$C$6)</f>
        <v>80</v>
      </c>
      <c r="G102" s="13" t="n">
        <f aca="false">ROUND(F102*Inputs!$C$7*Inputs!$C$8,0)</f>
        <v>6</v>
      </c>
      <c r="H102" s="13" t="n">
        <f aca="false">ROUND(F102*Inputs!$C$7*(1-Inputs!$C$8),0)</f>
        <v>14</v>
      </c>
      <c r="I102" s="13" t="n">
        <f aca="false">F102-G102-H102</f>
        <v>60</v>
      </c>
      <c r="J102" s="14" t="n">
        <f aca="false">(G102/2)*MAX(0,MIN(1,Inputs!$C$19+(B102-C102)*Inputs!$C$20))</f>
        <v>0.624</v>
      </c>
      <c r="K102" s="14" t="n">
        <f aca="false">(G102/2)*MAX(0,MIN(1,Inputs!$C$19+(C102-B102)*Inputs!$C$20))</f>
        <v>0</v>
      </c>
      <c r="L102" s="14" t="n">
        <f aca="false">(H102/2)*MAX(0,1-MIN(1,Inputs!$C$23+(C102-B102)*Inputs!$C$24))*0.5</f>
        <v>0.798</v>
      </c>
      <c r="M102" s="14" t="n">
        <f aca="false">(H102/2)*MAX(0,1-MIN(1,Inputs!$C$23+(B102-C102)*Inputs!$C$24))*0.5</f>
        <v>0.042</v>
      </c>
      <c r="N102" s="13" t="n">
        <f aca="false">ROUND(F102*(0.5+(B102-C102)*0.005),0)</f>
        <v>54</v>
      </c>
      <c r="O102" s="13" t="n">
        <f aca="false">F102-N102</f>
        <v>26</v>
      </c>
      <c r="P102" s="14" t="n">
        <f aca="false">N102*MAX(0,MIN(1,Inputs!$C$32+(D102-E102)*Inputs!$C$33))</f>
        <v>8.64</v>
      </c>
      <c r="Q102" s="14" t="n">
        <f aca="false">O102*MAX(0,MIN(1,Inputs!$C$32+(E102-D102)*Inputs!$C$33))</f>
        <v>8.84</v>
      </c>
      <c r="R102" s="13" t="n">
        <f aca="false">ROUND(P102*Inputs!$C$31,0)</f>
        <v>3</v>
      </c>
      <c r="S102" s="13" t="n">
        <f aca="false">ROUND(Q102*Inputs!$C$31,0)</f>
        <v>3</v>
      </c>
      <c r="T102" s="14" t="n">
        <f aca="false">J102+L102+I102*Inputs!$C$28*0.5</f>
        <v>6.822</v>
      </c>
      <c r="U102" s="14" t="n">
        <f aca="false">K102+M102+I102*Inputs!$C$28*0.5</f>
        <v>5.442</v>
      </c>
      <c r="V102" s="14" t="n">
        <f aca="false">T102*Inputs!$C$36</f>
        <v>4.7754</v>
      </c>
      <c r="W102" s="14" t="n">
        <f aca="false">U102*Inputs!$C$36</f>
        <v>3.8094</v>
      </c>
      <c r="X102" s="14" t="n">
        <f aca="false">V102*Inputs!$C$37</f>
        <v>3.10401</v>
      </c>
      <c r="Y102" s="14" t="n">
        <f aca="false">W102*Inputs!$C$37</f>
        <v>2.47611</v>
      </c>
      <c r="Z102" s="14" t="n">
        <f aca="false">R102*Inputs!$C$38</f>
        <v>2.25</v>
      </c>
      <c r="AA102" s="14" t="n">
        <f aca="false">S102*Inputs!$C$38</f>
        <v>2.25</v>
      </c>
      <c r="AB102" s="13" t="n">
        <f aca="false">ROUND(R102*5+Z102*2+X102*3,0)</f>
        <v>29</v>
      </c>
      <c r="AC102" s="13" t="n">
        <f aca="false">ROUND(S102*5+AA102*2+Y102*3,0)</f>
        <v>27</v>
      </c>
      <c r="AD102" s="13" t="n">
        <f aca="true">IF(RAND()&lt;Inputs!$C$41,1,0)+IF(RAND()&lt;Inputs!$C$41,1,0)</f>
        <v>0</v>
      </c>
      <c r="AE102" s="13" t="n">
        <f aca="true">IF(RAND()&lt;Inputs!$C$42,1,0)+IF(RAND()&lt;Inputs!$C$42,1,0)</f>
        <v>0</v>
      </c>
      <c r="AF102" s="13" t="n">
        <f aca="false">AB102+AC102</f>
        <v>56</v>
      </c>
      <c r="AG102" s="13" t="n">
        <f aca="false">ABS(AB102-AC102)</f>
        <v>2</v>
      </c>
      <c r="AH102" s="13" t="n">
        <f aca="false">R102+S102</f>
        <v>6</v>
      </c>
      <c r="AI102" s="14" t="n">
        <f aca="false">V102+W102</f>
        <v>8.5848</v>
      </c>
      <c r="AJ102" s="14" t="n">
        <f aca="false">X102+Y102</f>
        <v>5.58012</v>
      </c>
      <c r="AK102" s="13" t="n">
        <f aca="false">IF(AB102=AC102,1,0)</f>
        <v>0</v>
      </c>
    </row>
    <row r="103" customFormat="false" ht="15" hidden="false" customHeight="false" outlineLevel="0" collapsed="false">
      <c r="A103" s="12" t="n">
        <v>100</v>
      </c>
      <c r="B103" s="13" t="n">
        <f aca="true">ROUND(MAX(30,MIN(95,Inputs!$C$11+(RAND()+RAND()+RAND()-1.5)*Inputs!$C$12*2)),0)</f>
        <v>51</v>
      </c>
      <c r="C103" s="13" t="n">
        <f aca="true">ROUND(MAX(30,MIN(95,Inputs!$C$11+(RAND()+RAND()+RAND()-1.5)*Inputs!$C$12*2)),0)</f>
        <v>58</v>
      </c>
      <c r="D103" s="13" t="n">
        <f aca="true">ROUND(MAX(30,MIN(95,Inputs!$C$13+(RAND()+RAND()+RAND()-1.5)*Inputs!$C$14*2)),0)</f>
        <v>48</v>
      </c>
      <c r="E103" s="13" t="n">
        <f aca="true">ROUND(MAX(30,MIN(95,Inputs!$C$13+(RAND()+RAND()+RAND()-1.5)*Inputs!$C$14*2)),0)</f>
        <v>59</v>
      </c>
      <c r="F103" s="13" t="n">
        <f aca="false">RANDBETWEEN(Inputs!$C$5,Inputs!$C$6)</f>
        <v>82</v>
      </c>
      <c r="G103" s="13" t="n">
        <f aca="false">ROUND(F103*Inputs!$C$7*Inputs!$C$8,0)</f>
        <v>6</v>
      </c>
      <c r="H103" s="13" t="n">
        <f aca="false">ROUND(F103*Inputs!$C$7*(1-Inputs!$C$8),0)</f>
        <v>14</v>
      </c>
      <c r="I103" s="13" t="n">
        <f aca="false">F103-G103-H103</f>
        <v>62</v>
      </c>
      <c r="J103" s="14" t="n">
        <f aca="false">(G103/2)*MAX(0,MIN(1,Inputs!$C$19+(B103-C103)*Inputs!$C$20))</f>
        <v>0.237</v>
      </c>
      <c r="K103" s="14" t="n">
        <f aca="false">(G103/2)*MAX(0,MIN(1,Inputs!$C$19+(C103-B103)*Inputs!$C$20))</f>
        <v>0.363</v>
      </c>
      <c r="L103" s="14" t="n">
        <f aca="false">(H103/2)*MAX(0,1-MIN(1,Inputs!$C$23+(C103-B103)*Inputs!$C$24))*0.5</f>
        <v>0.3465</v>
      </c>
      <c r="M103" s="14" t="n">
        <f aca="false">(H103/2)*MAX(0,1-MIN(1,Inputs!$C$23+(B103-C103)*Inputs!$C$24))*0.5</f>
        <v>0.4935</v>
      </c>
      <c r="N103" s="13" t="n">
        <f aca="false">ROUND(F103*(0.5+(B103-C103)*0.005),0)</f>
        <v>38</v>
      </c>
      <c r="O103" s="13" t="n">
        <f aca="false">F103-N103</f>
        <v>44</v>
      </c>
      <c r="P103" s="14" t="n">
        <f aca="false">N103*MAX(0,MIN(1,Inputs!$C$32+(D103-E103)*Inputs!$C$33))</f>
        <v>8.246</v>
      </c>
      <c r="Q103" s="14" t="n">
        <f aca="false">O103*MAX(0,MIN(1,Inputs!$C$32+(E103-D103)*Inputs!$C$33))</f>
        <v>12.452</v>
      </c>
      <c r="R103" s="13" t="n">
        <f aca="false">ROUND(P103*Inputs!$C$31,0)</f>
        <v>2</v>
      </c>
      <c r="S103" s="13" t="n">
        <f aca="false">ROUND(Q103*Inputs!$C$31,0)</f>
        <v>4</v>
      </c>
      <c r="T103" s="14" t="n">
        <f aca="false">J103+L103+I103*Inputs!$C$28*0.5</f>
        <v>6.1635</v>
      </c>
      <c r="U103" s="14" t="n">
        <f aca="false">K103+M103+I103*Inputs!$C$28*0.5</f>
        <v>6.4365</v>
      </c>
      <c r="V103" s="14" t="n">
        <f aca="false">T103*Inputs!$C$36</f>
        <v>4.31445</v>
      </c>
      <c r="W103" s="14" t="n">
        <f aca="false">U103*Inputs!$C$36</f>
        <v>4.50555</v>
      </c>
      <c r="X103" s="14" t="n">
        <f aca="false">V103*Inputs!$C$37</f>
        <v>2.8043925</v>
      </c>
      <c r="Y103" s="14" t="n">
        <f aca="false">W103*Inputs!$C$37</f>
        <v>2.9286075</v>
      </c>
      <c r="Z103" s="14" t="n">
        <f aca="false">R103*Inputs!$C$38</f>
        <v>1.5</v>
      </c>
      <c r="AA103" s="14" t="n">
        <f aca="false">S103*Inputs!$C$38</f>
        <v>3</v>
      </c>
      <c r="AB103" s="13" t="n">
        <f aca="false">ROUND(R103*5+Z103*2+X103*3,0)</f>
        <v>21</v>
      </c>
      <c r="AC103" s="13" t="n">
        <f aca="false">ROUND(S103*5+AA103*2+Y103*3,0)</f>
        <v>35</v>
      </c>
      <c r="AD103" s="13" t="n">
        <f aca="true">IF(RAND()&lt;Inputs!$C$41,1,0)+IF(RAND()&lt;Inputs!$C$41,1,0)</f>
        <v>1</v>
      </c>
      <c r="AE103" s="13" t="n">
        <f aca="true">IF(RAND()&lt;Inputs!$C$42,1,0)+IF(RAND()&lt;Inputs!$C$42,1,0)</f>
        <v>0</v>
      </c>
      <c r="AF103" s="13" t="n">
        <f aca="false">AB103+AC103</f>
        <v>56</v>
      </c>
      <c r="AG103" s="13" t="n">
        <f aca="false">ABS(AB103-AC103)</f>
        <v>14</v>
      </c>
      <c r="AH103" s="13" t="n">
        <f aca="false">R103+S103</f>
        <v>6</v>
      </c>
      <c r="AI103" s="14" t="n">
        <f aca="false">V103+W103</f>
        <v>8.82</v>
      </c>
      <c r="AJ103" s="14" t="n">
        <f aca="false">X103+Y103</f>
        <v>5.733</v>
      </c>
      <c r="AK103" s="13" t="n">
        <f aca="false">IF(AB103=AC103,1,0)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8" min="3" style="0" width="12"/>
  </cols>
  <sheetData>
    <row r="1" customFormat="false" ht="17.35" hidden="false" customHeight="false" outlineLevel="0" collapsed="false">
      <c r="B1" s="4" t="s">
        <v>112</v>
      </c>
    </row>
    <row r="3" customFormat="false" ht="15" hidden="false" customHeight="false" outlineLevel="0" collapsed="false">
      <c r="B3" s="15" t="s">
        <v>113</v>
      </c>
      <c r="C3" s="15" t="s">
        <v>114</v>
      </c>
      <c r="D3" s="15" t="s">
        <v>115</v>
      </c>
      <c r="E3" s="15" t="s">
        <v>116</v>
      </c>
      <c r="F3" s="15" t="s">
        <v>117</v>
      </c>
      <c r="G3" s="15" t="s">
        <v>118</v>
      </c>
      <c r="H3" s="15" t="s">
        <v>119</v>
      </c>
    </row>
    <row r="4" customFormat="false" ht="15" hidden="false" customHeight="false" outlineLevel="0" collapsed="false">
      <c r="B4" s="16" t="s">
        <v>120</v>
      </c>
      <c r="C4" s="17" t="n">
        <f aca="false">AVERAGE(Match_Sim!AB4:AB103)</f>
        <v>27.03</v>
      </c>
      <c r="D4" s="17" t="n">
        <f aca="false">STDEV(Match_Sim!AB4:AB103)</f>
        <v>5.87144261522144</v>
      </c>
      <c r="E4" s="17" t="n">
        <f aca="false">MIN(Match_Sim!AB4:AB103)</f>
        <v>14</v>
      </c>
      <c r="F4" s="17" t="n">
        <f aca="false">MAX(Match_Sim!AB4:AB103)</f>
        <v>42</v>
      </c>
      <c r="G4" s="17" t="n">
        <f aca="false">PERCENTILE(Match_Sim!AB4:AB103,0.25)</f>
        <v>21</v>
      </c>
      <c r="H4" s="17" t="n">
        <f aca="false">PERCENTILE(Match_Sim!AB4:AB103,0.75)</f>
        <v>30.25</v>
      </c>
    </row>
    <row r="5" customFormat="false" ht="15" hidden="false" customHeight="false" outlineLevel="0" collapsed="false">
      <c r="B5" s="16" t="s">
        <v>121</v>
      </c>
      <c r="C5" s="17" t="n">
        <f aca="false">AVERAGE(Match_Sim!AC4:AC103)</f>
        <v>27.04</v>
      </c>
      <c r="D5" s="17" t="n">
        <f aca="false">STDEV(Match_Sim!AC4:AC103)</f>
        <v>6.2472943638576</v>
      </c>
      <c r="E5" s="17" t="n">
        <f aca="false">MIN(Match_Sim!AC4:AC103)</f>
        <v>13</v>
      </c>
      <c r="F5" s="17" t="n">
        <f aca="false">MAX(Match_Sim!AC4:AC103)</f>
        <v>42</v>
      </c>
      <c r="G5" s="17" t="n">
        <f aca="false">PERCENTILE(Match_Sim!AC4:AC103,0.25)</f>
        <v>21</v>
      </c>
      <c r="H5" s="17" t="n">
        <f aca="false">PERCENTILE(Match_Sim!AC4:AC103,0.75)</f>
        <v>31</v>
      </c>
    </row>
    <row r="6" customFormat="false" ht="15" hidden="false" customHeight="false" outlineLevel="0" collapsed="false">
      <c r="B6" s="16" t="s">
        <v>122</v>
      </c>
      <c r="C6" s="17" t="n">
        <f aca="false">AVERAGE(Match_Sim!AF4:AF103)</f>
        <v>54.07</v>
      </c>
      <c r="D6" s="17" t="n">
        <f aca="false">STDEV(Match_Sim!AF4:AF103)</f>
        <v>6.08235567071267</v>
      </c>
      <c r="E6" s="17" t="n">
        <f aca="false">MIN(Match_Sim!AF4:AF103)</f>
        <v>40</v>
      </c>
      <c r="F6" s="17" t="n">
        <f aca="false">MAX(Match_Sim!AF4:AF103)</f>
        <v>64</v>
      </c>
      <c r="G6" s="17" t="n">
        <f aca="false">PERCENTILE(Match_Sim!AF4:AF103,0.25)</f>
        <v>47.75</v>
      </c>
      <c r="H6" s="17" t="n">
        <f aca="false">PERCENTILE(Match_Sim!AF4:AF103,0.75)</f>
        <v>57</v>
      </c>
    </row>
    <row r="7" customFormat="false" ht="15" hidden="false" customHeight="false" outlineLevel="0" collapsed="false">
      <c r="B7" s="16" t="s">
        <v>123</v>
      </c>
      <c r="C7" s="17" t="n">
        <f aca="false">AVERAGE(Match_Sim!AG4:AG103)</f>
        <v>8.81</v>
      </c>
      <c r="D7" s="17" t="n">
        <f aca="false">STDEV(Match_Sim!AG4:AG103)</f>
        <v>5.62227711874824</v>
      </c>
      <c r="E7" s="17" t="n">
        <f aca="false">MIN(Match_Sim!AG4:AG103)</f>
        <v>0</v>
      </c>
      <c r="F7" s="17" t="n">
        <f aca="false">MAX(Match_Sim!AG4:AG103)</f>
        <v>21</v>
      </c>
      <c r="G7" s="17" t="n">
        <f aca="false">PERCENTILE(Match_Sim!AG4:AG103,0.25)</f>
        <v>6</v>
      </c>
      <c r="H7" s="17" t="n">
        <f aca="false">PERCENTILE(Match_Sim!AG4:AG103,0.75)</f>
        <v>14</v>
      </c>
    </row>
    <row r="8" customFormat="false" ht="15" hidden="false" customHeight="false" outlineLevel="0" collapsed="false">
      <c r="B8" s="16" t="s">
        <v>124</v>
      </c>
      <c r="C8" s="17" t="n">
        <f aca="false">AVERAGE(Match_Sim!R4:R103)</f>
        <v>2.91</v>
      </c>
      <c r="D8" s="17" t="n">
        <f aca="false">STDEV(Match_Sim!R4:R103)</f>
        <v>0.829932454352689</v>
      </c>
      <c r="E8" s="17" t="n">
        <f aca="false">MIN(Match_Sim!R4:R103)</f>
        <v>1</v>
      </c>
      <c r="F8" s="17" t="n">
        <f aca="false">MAX(Match_Sim!R4:R103)</f>
        <v>5</v>
      </c>
      <c r="G8" s="17" t="n">
        <f aca="false">PERCENTILE(Match_Sim!R4:R103,0.25)</f>
        <v>2</v>
      </c>
      <c r="H8" s="17" t="n">
        <f aca="false">PERCENTILE(Match_Sim!R4:R103,0.75)</f>
        <v>3.25</v>
      </c>
    </row>
    <row r="9" customFormat="false" ht="15" hidden="false" customHeight="false" outlineLevel="0" collapsed="false">
      <c r="B9" s="16" t="s">
        <v>125</v>
      </c>
      <c r="C9" s="17" t="n">
        <f aca="false">AVERAGE(Match_Sim!S4:S103)</f>
        <v>2.9</v>
      </c>
      <c r="D9" s="17" t="n">
        <f aca="false">STDEV(Match_Sim!S4:S103)</f>
        <v>0.858704685776046</v>
      </c>
      <c r="E9" s="17" t="n">
        <f aca="false">MIN(Match_Sim!S4:S103)</f>
        <v>1</v>
      </c>
      <c r="F9" s="17" t="n">
        <f aca="false">MAX(Match_Sim!S4:S103)</f>
        <v>5</v>
      </c>
      <c r="G9" s="17" t="n">
        <f aca="false">PERCENTILE(Match_Sim!S4:S103,0.25)</f>
        <v>2</v>
      </c>
      <c r="H9" s="17" t="n">
        <f aca="false">PERCENTILE(Match_Sim!S4:S103,0.75)</f>
        <v>3.25</v>
      </c>
    </row>
    <row r="10" customFormat="false" ht="15" hidden="false" customHeight="false" outlineLevel="0" collapsed="false">
      <c r="B10" s="16" t="s">
        <v>126</v>
      </c>
      <c r="C10" s="17" t="n">
        <f aca="false">AVERAGE(Match_Sim!AH4:AH103)</f>
        <v>5.81</v>
      </c>
      <c r="D10" s="17" t="n">
        <f aca="false">STDEV(Match_Sim!AH4:AH103)</f>
        <v>0.747993950172693</v>
      </c>
      <c r="E10" s="17" t="n">
        <f aca="false">MIN(Match_Sim!AH4:AH103)</f>
        <v>4</v>
      </c>
      <c r="F10" s="17" t="n">
        <f aca="false">MAX(Match_Sim!AH4:AH103)</f>
        <v>7</v>
      </c>
      <c r="G10" s="17" t="n">
        <f aca="false">PERCENTILE(Match_Sim!AH4:AH103,0.25)</f>
        <v>5</v>
      </c>
      <c r="H10" s="17" t="n">
        <f aca="false">PERCENTILE(Match_Sim!AH4:AH103,0.75)</f>
        <v>6</v>
      </c>
    </row>
    <row r="11" customFormat="false" ht="15" hidden="false" customHeight="false" outlineLevel="0" collapsed="false">
      <c r="B11" s="16" t="s">
        <v>127</v>
      </c>
      <c r="C11" s="17" t="n">
        <f aca="false">AVERAGE(Match_Sim!AI4:AI103)</f>
        <v>8.3712195</v>
      </c>
      <c r="D11" s="17" t="n">
        <f aca="false">STDEV(Match_Sim!AI4:AI103)</f>
        <v>0.789676237730765</v>
      </c>
      <c r="E11" s="17" t="n">
        <f aca="false">MIN(Match_Sim!AI4:AI103)</f>
        <v>6.986</v>
      </c>
      <c r="F11" s="17" t="n">
        <f aca="false">MAX(Match_Sim!AI4:AI103)</f>
        <v>9.604</v>
      </c>
      <c r="G11" s="17" t="n">
        <f aca="false">PERCENTILE(Match_Sim!AI4:AI103,0.25)</f>
        <v>7.658</v>
      </c>
      <c r="H11" s="17" t="n">
        <f aca="false">PERCENTILE(Match_Sim!AI4:AI103,0.75)</f>
        <v>9.0195</v>
      </c>
    </row>
    <row r="12" customFormat="false" ht="15" hidden="false" customHeight="false" outlineLevel="0" collapsed="false">
      <c r="B12" s="16" t="s">
        <v>128</v>
      </c>
      <c r="C12" s="17" t="n">
        <f aca="false">AVERAGE(Match_Sim!AJ4:AJ103)</f>
        <v>5.441292675</v>
      </c>
      <c r="D12" s="17" t="n">
        <f aca="false">STDEV(Match_Sim!AJ4:AJ103)</f>
        <v>0.513289554524997</v>
      </c>
      <c r="E12" s="17" t="n">
        <f aca="false">MIN(Match_Sim!AJ4:AJ103)</f>
        <v>4.5409</v>
      </c>
      <c r="F12" s="17" t="n">
        <f aca="false">MAX(Match_Sim!AJ4:AJ103)</f>
        <v>6.2426</v>
      </c>
      <c r="G12" s="17" t="n">
        <f aca="false">PERCENTILE(Match_Sim!AJ4:AJ103,0.25)</f>
        <v>4.9777</v>
      </c>
      <c r="H12" s="17" t="n">
        <f aca="false">PERCENTILE(Match_Sim!AJ4:AJ103,0.75)</f>
        <v>5.862675</v>
      </c>
    </row>
    <row r="13" customFormat="false" ht="15" hidden="false" customHeight="false" outlineLevel="0" collapsed="false">
      <c r="B13" s="16" t="s">
        <v>129</v>
      </c>
      <c r="C13" s="18" t="n">
        <f aca="false">SUM(Match_Sim!AJ4:AJ103)/MAX(1,SUM(Match_Sim!AI4:AI103))</f>
        <v>0.65</v>
      </c>
      <c r="D13" s="18" t="str">
        <f aca="false">""</f>
        <v/>
      </c>
      <c r="E13" s="18" t="str">
        <f aca="false">""</f>
        <v/>
      </c>
      <c r="F13" s="18" t="str">
        <f aca="false">""</f>
        <v/>
      </c>
      <c r="G13" s="18" t="str">
        <f aca="false">""</f>
        <v/>
      </c>
      <c r="H13" s="18" t="str">
        <f aca="false">""</f>
        <v/>
      </c>
    </row>
    <row r="14" customFormat="false" ht="15" hidden="false" customHeight="false" outlineLevel="0" collapsed="false">
      <c r="B14" s="16" t="s">
        <v>130</v>
      </c>
      <c r="C14" s="17" t="n">
        <f aca="false">AVERAGE(Match_Sim!F4:F103)</f>
        <v>78.09</v>
      </c>
      <c r="D14" s="17" t="n">
        <f aca="false">STDEV(Match_Sim!F4:F103)</f>
        <v>7.43333333333333</v>
      </c>
      <c r="E14" s="17" t="n">
        <f aca="false">MIN(Match_Sim!F4:F103)</f>
        <v>65</v>
      </c>
      <c r="F14" s="17" t="n">
        <f aca="false">MAX(Match_Sim!F4:F103)</f>
        <v>90</v>
      </c>
      <c r="G14" s="17" t="n">
        <f aca="false">PERCENTILE(Match_Sim!F4:F103,0.25)</f>
        <v>71</v>
      </c>
      <c r="H14" s="17" t="n">
        <f aca="false">PERCENTILE(Match_Sim!F4:F103,0.75)</f>
        <v>84.25</v>
      </c>
    </row>
    <row r="15" customFormat="false" ht="15" hidden="false" customHeight="false" outlineLevel="0" collapsed="false">
      <c r="B15" s="16" t="s">
        <v>131</v>
      </c>
      <c r="C15" s="17" t="n">
        <f aca="false">AVERAGE(Match_Sim!G4:G103)</f>
        <v>5.83</v>
      </c>
      <c r="D15" s="17" t="n">
        <f aca="false">STDEV(Match_Sim!G4:G103)</f>
        <v>0.636515133481927</v>
      </c>
      <c r="E15" s="17" t="n">
        <f aca="false">MIN(Match_Sim!G4:G103)</f>
        <v>5</v>
      </c>
      <c r="F15" s="17" t="n">
        <f aca="false">MAX(Match_Sim!G4:G103)</f>
        <v>7</v>
      </c>
      <c r="G15" s="17" t="n">
        <f aca="false">PERCENTILE(Match_Sim!G4:G103,0.25)</f>
        <v>5</v>
      </c>
      <c r="H15" s="17" t="n">
        <f aca="false">PERCENTILE(Match_Sim!G4:G103,0.75)</f>
        <v>6</v>
      </c>
    </row>
    <row r="16" customFormat="false" ht="15" hidden="false" customHeight="false" outlineLevel="0" collapsed="false">
      <c r="B16" s="16" t="s">
        <v>132</v>
      </c>
      <c r="C16" s="17" t="n">
        <f aca="false">AVERAGE(Match_Sim!H4:H103)</f>
        <v>13.65</v>
      </c>
      <c r="D16" s="17" t="n">
        <f aca="false">STDEV(Match_Sim!H4:H103)</f>
        <v>1.40974243653716</v>
      </c>
      <c r="E16" s="17" t="n">
        <f aca="false">MIN(Match_Sim!H4:H103)</f>
        <v>11</v>
      </c>
      <c r="F16" s="17" t="n">
        <f aca="false">MAX(Match_Sim!H4:H103)</f>
        <v>16</v>
      </c>
      <c r="G16" s="17" t="n">
        <f aca="false">PERCENTILE(Match_Sim!H4:H103,0.25)</f>
        <v>12</v>
      </c>
      <c r="H16" s="17" t="n">
        <f aca="false">PERCENTILE(Match_Sim!H4:H103,0.75)</f>
        <v>15</v>
      </c>
    </row>
    <row r="17" customFormat="false" ht="15" hidden="false" customHeight="false" outlineLevel="0" collapsed="false">
      <c r="B17" s="16" t="s">
        <v>133</v>
      </c>
      <c r="C17" s="17" t="n">
        <f aca="false">AVERAGE(Match_Sim!I4:I103)</f>
        <v>58.61</v>
      </c>
      <c r="D17" s="17" t="n">
        <f aca="false">STDEV(Match_Sim!I4:I103)</f>
        <v>5.48992649580055</v>
      </c>
      <c r="E17" s="17" t="n">
        <f aca="false">MIN(Match_Sim!I4:I103)</f>
        <v>49</v>
      </c>
      <c r="F17" s="17" t="n">
        <f aca="false">MAX(Match_Sim!I4:I103)</f>
        <v>67</v>
      </c>
      <c r="G17" s="17" t="n">
        <f aca="false">PERCENTILE(Match_Sim!I4:I103,0.25)</f>
        <v>54</v>
      </c>
      <c r="H17" s="17" t="n">
        <f aca="false">PERCENTILE(Match_Sim!I4:I103,0.75)</f>
        <v>63.25</v>
      </c>
    </row>
    <row r="18" customFormat="false" ht="15" hidden="false" customHeight="false" outlineLevel="0" collapsed="false">
      <c r="B18" s="16" t="s">
        <v>134</v>
      </c>
      <c r="C18" s="17" t="n">
        <f aca="false">AVERAGE(Match_Sim!AD4:AD103)</f>
        <v>0.56</v>
      </c>
      <c r="D18" s="17" t="n">
        <f aca="false">STDEV(Match_Sim!AD4:AD103)</f>
        <v>0.608359277155375</v>
      </c>
      <c r="E18" s="17" t="n">
        <f aca="false">MIN(Match_Sim!AD4:AD103)</f>
        <v>0</v>
      </c>
      <c r="F18" s="17" t="n">
        <f aca="false">MAX(Match_Sim!AD4:AD103)</f>
        <v>2</v>
      </c>
      <c r="G18" s="17" t="n">
        <f aca="false">PERCENTILE(Match_Sim!AD4:AD103,0.25)</f>
        <v>0</v>
      </c>
      <c r="H18" s="17" t="n">
        <f aca="false">PERCENTILE(Match_Sim!AD4:AD103,0.75)</f>
        <v>1</v>
      </c>
    </row>
    <row r="19" customFormat="false" ht="15" hidden="false" customHeight="false" outlineLevel="0" collapsed="false">
      <c r="B19" s="16" t="s">
        <v>135</v>
      </c>
      <c r="C19" s="17" t="n">
        <f aca="false">AVERAGE(Match_Sim!AE4:AE103)</f>
        <v>0.07</v>
      </c>
      <c r="D19" s="17" t="n">
        <f aca="false">STDEV(Match_Sim!AE4:AE103)</f>
        <v>0.256432399976243</v>
      </c>
      <c r="E19" s="17" t="n">
        <f aca="false">MIN(Match_Sim!AE4:AE103)</f>
        <v>0</v>
      </c>
      <c r="F19" s="17" t="n">
        <f aca="false">MAX(Match_Sim!AE4:AE103)</f>
        <v>1</v>
      </c>
      <c r="G19" s="17" t="n">
        <f aca="false">PERCENTILE(Match_Sim!AE4:AE103,0.25)</f>
        <v>0</v>
      </c>
      <c r="H19" s="17" t="n">
        <f aca="false">PERCENTILE(Match_Sim!AE4:AE103,0.75)</f>
        <v>0</v>
      </c>
    </row>
    <row r="20" customFormat="false" ht="15" hidden="false" customHeight="false" outlineLevel="0" collapsed="false">
      <c r="B20" s="16" t="s">
        <v>136</v>
      </c>
      <c r="C20" s="18" t="n">
        <f aca="false">AVERAGE(Match_Sim!AK4:AK103)</f>
        <v>0.07</v>
      </c>
      <c r="D20" s="18" t="n">
        <f aca="false">STDEV(Match_Sim!AK4:AK103)</f>
        <v>0.256432399976243</v>
      </c>
      <c r="E20" s="18" t="n">
        <f aca="false">MIN(Match_Sim!AK4:AK103)</f>
        <v>0</v>
      </c>
      <c r="F20" s="18" t="n">
        <f aca="false">MAX(Match_Sim!AK4:AK103)</f>
        <v>1</v>
      </c>
      <c r="G20" s="18" t="n">
        <f aca="false">PERCENTILE(Match_Sim!AK4:AK103,0.25)</f>
        <v>0</v>
      </c>
      <c r="H20" s="18" t="n">
        <f aca="false">PERCENTILE(Match_Sim!AK4:AK103,0.75)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6" min="3" style="0" width="14"/>
  </cols>
  <sheetData>
    <row r="1" customFormat="false" ht="17.35" hidden="false" customHeight="false" outlineLevel="0" collapsed="false">
      <c r="B1" s="4" t="s">
        <v>137</v>
      </c>
    </row>
    <row r="3" customFormat="false" ht="26.85" hidden="false" customHeight="false" outlineLevel="0" collapsed="false">
      <c r="B3" s="15" t="s">
        <v>113</v>
      </c>
      <c r="C3" s="15" t="s">
        <v>138</v>
      </c>
      <c r="D3" s="15" t="s">
        <v>139</v>
      </c>
      <c r="E3" s="15" t="s">
        <v>140</v>
      </c>
      <c r="F3" s="15" t="s">
        <v>141</v>
      </c>
    </row>
    <row r="4" customFormat="false" ht="15" hidden="false" customHeight="false" outlineLevel="0" collapsed="false">
      <c r="B4" s="16" t="s">
        <v>142</v>
      </c>
      <c r="C4" s="19" t="n">
        <v>4</v>
      </c>
      <c r="D4" s="19" t="n">
        <v>6</v>
      </c>
      <c r="E4" s="17" t="n">
        <f aca="false">AVERAGE(Match_Sim!AH4:AH103)</f>
        <v>5.81</v>
      </c>
      <c r="F4" s="20" t="str">
        <f aca="false">IF(AND(E4&gt;=C4,E4&lt;=D4),"OK","KO")</f>
        <v>OK</v>
      </c>
    </row>
    <row r="5" customFormat="false" ht="15" hidden="false" customHeight="false" outlineLevel="0" collapsed="false">
      <c r="B5" s="16" t="s">
        <v>143</v>
      </c>
      <c r="C5" s="19" t="n">
        <v>8</v>
      </c>
      <c r="D5" s="19" t="n">
        <v>12</v>
      </c>
      <c r="E5" s="17" t="n">
        <f aca="false">AVERAGE(Match_Sim!AI4:AI103)</f>
        <v>8.3712195</v>
      </c>
      <c r="F5" s="20" t="str">
        <f aca="false">IF(AND(E5&gt;=C5,E5&lt;=D5),"OK","KO")</f>
        <v>OK</v>
      </c>
    </row>
    <row r="6" customFormat="false" ht="15" hidden="false" customHeight="false" outlineLevel="0" collapsed="false">
      <c r="B6" s="16" t="s">
        <v>144</v>
      </c>
      <c r="C6" s="9" t="n">
        <v>0.6</v>
      </c>
      <c r="D6" s="9" t="n">
        <v>0.7</v>
      </c>
      <c r="E6" s="18" t="n">
        <f aca="false">SUM(Match_Sim!AJ4:AJ103)/MAX(1,SUM(Match_Sim!AI4:AI103))</f>
        <v>0.65</v>
      </c>
      <c r="F6" s="20" t="str">
        <f aca="false">IF(AND(E6&gt;=C6,E6&lt;=D6),"OK","KO")</f>
        <v>OK</v>
      </c>
    </row>
    <row r="7" customFormat="false" ht="15" hidden="false" customHeight="false" outlineLevel="0" collapsed="false">
      <c r="B7" s="16" t="s">
        <v>145</v>
      </c>
      <c r="C7" s="19" t="n">
        <v>70</v>
      </c>
      <c r="D7" s="19" t="n">
        <v>80</v>
      </c>
      <c r="E7" s="17" t="n">
        <f aca="false">AVERAGE(Match_Sim!F4:F103)</f>
        <v>78.09</v>
      </c>
      <c r="F7" s="20" t="str">
        <f aca="false">IF(AND(E7&gt;=C7,E7&lt;=D7),"OK","KO")</f>
        <v>OK</v>
      </c>
    </row>
    <row r="8" customFormat="false" ht="15" hidden="false" customHeight="false" outlineLevel="0" collapsed="false">
      <c r="B8" s="16" t="s">
        <v>146</v>
      </c>
      <c r="C8" s="19" t="n">
        <v>18</v>
      </c>
      <c r="D8" s="19" t="n">
        <v>30</v>
      </c>
      <c r="E8" s="17" t="n">
        <f aca="false">AVERAGE(Match_Sim!AB4:AB103)</f>
        <v>27.03</v>
      </c>
      <c r="F8" s="20" t="str">
        <f aca="false">IF(AND(E8&gt;=C8,E8&lt;=D8),"OK","KO")</f>
        <v>OK</v>
      </c>
    </row>
    <row r="9" customFormat="false" ht="15" hidden="false" customHeight="false" outlineLevel="0" collapsed="false">
      <c r="B9" s="16" t="s">
        <v>147</v>
      </c>
      <c r="C9" s="19" t="n">
        <v>18</v>
      </c>
      <c r="D9" s="19" t="n">
        <v>30</v>
      </c>
      <c r="E9" s="17" t="n">
        <f aca="false">AVERAGE(Match_Sim!AC4:AC103)</f>
        <v>27.04</v>
      </c>
      <c r="F9" s="20" t="str">
        <f aca="false">IF(AND(E9&gt;=C9,E9&lt;=D9),"OK","KO")</f>
        <v>OK</v>
      </c>
    </row>
    <row r="10" customFormat="false" ht="15" hidden="false" customHeight="false" outlineLevel="0" collapsed="false">
      <c r="B10" s="16" t="s">
        <v>148</v>
      </c>
      <c r="C10" s="19" t="n">
        <v>0.3</v>
      </c>
      <c r="D10" s="19" t="n">
        <v>0.7</v>
      </c>
      <c r="E10" s="17" t="n">
        <f aca="false">AVERAGE(Match_Sim!AD4:AD103)</f>
        <v>0.56</v>
      </c>
      <c r="F10" s="20" t="str">
        <f aca="false">IF(AND(E10&gt;=C10,E10&lt;=D10),"OK","KO")</f>
        <v>OK</v>
      </c>
    </row>
    <row r="11" customFormat="false" ht="15" hidden="false" customHeight="false" outlineLevel="0" collapsed="false">
      <c r="B11" s="16" t="s">
        <v>149</v>
      </c>
      <c r="C11" s="19" t="n">
        <v>0.05</v>
      </c>
      <c r="D11" s="19" t="n">
        <v>0.1</v>
      </c>
      <c r="E11" s="17" t="n">
        <f aca="false">AVERAGE(Match_Sim!AE4:AE103)</f>
        <v>0.07</v>
      </c>
      <c r="F11" s="20" t="str">
        <f aca="false">IF(AND(E11&gt;=C11,E11&lt;=D11),"OK","KO")</f>
        <v>OK</v>
      </c>
    </row>
    <row r="12" customFormat="false" ht="15" hidden="false" customHeight="false" outlineLevel="0" collapsed="false">
      <c r="B12" s="16" t="s">
        <v>150</v>
      </c>
      <c r="C12" s="9" t="n">
        <v>0</v>
      </c>
      <c r="D12" s="9" t="n">
        <v>0.08</v>
      </c>
      <c r="E12" s="18" t="n">
        <f aca="false">AVERAGE(Match_Sim!AK4:AK103)</f>
        <v>0.07</v>
      </c>
      <c r="F12" s="20" t="str">
        <f aca="false">IF(AND(E12&gt;=C12,E12&lt;=D12),"OK","KO")</f>
        <v>OK</v>
      </c>
    </row>
    <row r="15" customFormat="false" ht="15" hidden="false" customHeight="false" outlineLevel="0" collapsed="false">
      <c r="B15" s="2" t="s">
        <v>151</v>
      </c>
      <c r="C15" s="12" t="str">
        <f aca="false">COUNTIF(F4:F12,"OK")&amp;"/"&amp;9&amp;" critères OK"</f>
        <v>9/9 critères OK</v>
      </c>
    </row>
  </sheetData>
  <conditionalFormatting sqref="F4:F12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"KO"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2026-05-08T17:51:19Z</dcterms:created>
  <dc:creator>openpyxl</dc:creator>
  <dc:description/>
  <dc:language>en-US</dc:language>
  <cp:lastModifiedBy/>
  <dcterms:modified xsi:type="dcterms:W3CDTF">2026-05-08T17:51:19Z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